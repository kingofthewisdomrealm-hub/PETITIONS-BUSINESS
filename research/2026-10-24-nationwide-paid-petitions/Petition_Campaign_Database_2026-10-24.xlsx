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5.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tabase" sheetId="2" state="visible" r:id="rId4"/>
    <sheet name="Active Opportunities" sheetId="3" state="visible" r:id="rId5"/>
    <sheet name="State Coverage" sheetId="4" state="visible" r:id="rId6"/>
    <sheet name="Firms" sheetId="5" state="visible" r:id="rId7"/>
    <sheet name="Job Postings" sheetId="6" state="visible" r:id="rId8"/>
    <sheet name="Trends &amp; Laws" sheetId="7" state="visible" r:id="rId9"/>
    <sheet name="New Discoveri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<sst xmlns="http://schemas.openxmlformats.org/spreadsheetml/2006/main" count="4075" uniqueCount="1868">
  <si>
    <t xml:space="preserve">Nationwide Paid Petition Campaign Database</t>
  </si>
  <si>
    <t xml:space="preserve">Last verified</t>
  </si>
  <si>
    <t xml:space="preserve">October 24, 2026 (10 days before the Nov 3, 2026 general election)</t>
  </si>
  <si>
    <t xml:space="preserve">What this is</t>
  </si>
  <si>
    <t xml:space="preserve">Every petition project our research could find in all 50 states + DC, with status, deadlines, pay, firms and sources.</t>
  </si>
  <si>
    <t xml:space="preserve">Big picture</t>
  </si>
  <si>
    <t xml:space="preserve">Most 2026 ballot drives are finished. Live money is in the next wave: Massachusetts 2028 (first round due Nov 18 / Dec 2, 2026), Maine and Washington petitions to their legislatures, California's Jan 11, 2027 deadline, and the 2027 local / 2028 statewide cycle.</t>
  </si>
  <si>
    <t xml:space="preserve">STATUS KEY</t>
  </si>
  <si>
    <t xml:space="preserve">Confirmed active paid</t>
  </si>
  <si>
    <t xml:space="preserve">A current source (job ad naming the petition, finance filing, or official) shows paid circulators working it now.</t>
  </si>
  <si>
    <t xml:space="preserve">Strong evidence active paid</t>
  </si>
  <si>
    <t xml:space="preserve">Recent, credible reports of paid circulation, but not a current posting or filing.</t>
  </si>
  <si>
    <t xml:space="preserve">Active – paid unconfirmed</t>
  </si>
  <si>
    <t xml:space="preserve">The petition is collecting now, but we could not prove circulators are paid.</t>
  </si>
  <si>
    <t xml:space="preserve">Upcoming</t>
  </si>
  <si>
    <t xml:space="preserve">Announced or filed; collection hasn't started, or starts soon.</t>
  </si>
  <si>
    <t xml:space="preserve">Completed/Expired</t>
  </si>
  <si>
    <t xml:space="preserve">Drive is over. Kept because it shows who spends money and which firms they hire.</t>
  </si>
  <si>
    <t xml:space="preserve">No verified project</t>
  </si>
  <si>
    <t xml:space="preserve">We searched and found nothing verifiable. This means 'not found yet', NOT 'none exist'.</t>
  </si>
  <si>
    <t xml:space="preserve">TABS</t>
  </si>
  <si>
    <t xml:space="preserve">Database</t>
  </si>
  <si>
    <t xml:space="preserve">Every record. Use the filter arrows in the header row to sort by state, status, deadline, firm.</t>
  </si>
  <si>
    <t xml:space="preserve">Active Opportunities</t>
  </si>
  <si>
    <t xml:space="preserve">Live or near-live projects ranked by 5 scores (hiring, pay, deadline urgency, scale, evidence). Total = formula.</t>
  </si>
  <si>
    <t xml:space="preserve">State Coverage</t>
  </si>
  <si>
    <t xml:space="preserve">One row per state with live counts (formulas) so you can see where activity is and where gaps remain.</t>
  </si>
  <si>
    <t xml:space="preserve">Firms</t>
  </si>
  <si>
    <t xml:space="preserve">Circulation companies found, their states, contacts and pay.</t>
  </si>
  <si>
    <t xml:space="preserve">Job Postings</t>
  </si>
  <si>
    <t xml:space="preserve">Recent circulator job ads with stated pay.</t>
  </si>
  <si>
    <t xml:space="preserve">Trends &amp; Laws</t>
  </si>
  <si>
    <t xml:space="preserve">Industry notes: pay rates, new laws, where the market is moving.</t>
  </si>
  <si>
    <t xml:space="preserve">New Discoveries</t>
  </si>
  <si>
    <t xml:space="preserve">Monitoring log. Add each newly found project here first, then move it to Database once verified.</t>
  </si>
  <si>
    <t xml:space="preserve">RULES WE FOLLOWED</t>
  </si>
  <si>
    <t xml:space="preserve">Nothing invented. 'unknown' means no reliable public source. A registered petition is NOT counted as paid. Contacts are official public business contacts only.</t>
  </si>
  <si>
    <t xml:space="preserve">Known gaps</t>
  </si>
  <si>
    <t xml:space="preserve">Several state election sites and campaign-finance systems blocked automated access (e.g. Florida initiative database, Nevada SOS, Missouri SOS 2028 page, Arizona filings). Those are the first places to check by hand.</t>
  </si>
  <si>
    <t xml:space="preserve">Today (edit to refresh 'Days Left')</t>
  </si>
  <si>
    <t xml:space="preserve">ID</t>
  </si>
  <si>
    <t xml:space="preserve">State</t>
  </si>
  <si>
    <t xml:space="preserve">Region</t>
  </si>
  <si>
    <t xml:space="preserve">Area</t>
  </si>
  <si>
    <t xml:space="preserve">Campaign / Petition</t>
  </si>
  <si>
    <t xml:space="preserve">Purpose</t>
  </si>
  <si>
    <t xml:space="preserve">Type</t>
  </si>
  <si>
    <t xml:space="preserve">Sponsor / Committee</t>
  </si>
  <si>
    <t xml:space="preserve">Circulation Firm</t>
  </si>
  <si>
    <t xml:space="preserve">Status</t>
  </si>
  <si>
    <t xml:space="preserve">Signatures Required</t>
  </si>
  <si>
    <t xml:space="preserve">Deadline</t>
  </si>
  <si>
    <t xml:space="preserve">Deadline (date)</t>
  </si>
  <si>
    <t xml:space="preserve">Days Left</t>
  </si>
  <si>
    <t xml:space="preserve">Signatures Collected</t>
  </si>
  <si>
    <t xml:space="preserve">Circulator Pay</t>
  </si>
  <si>
    <t xml:space="preserve">Hiring Link</t>
  </si>
  <si>
    <t xml:space="preserve">Budget / Spend</t>
  </si>
  <si>
    <t xml:space="preserve">Decision Maker</t>
  </si>
  <si>
    <t xml:space="preserve">Public Contact</t>
  </si>
  <si>
    <t xml:space="preserve">Website</t>
  </si>
  <si>
    <t xml:space="preserve">Evidence Note</t>
  </si>
  <si>
    <t xml:space="preserve">Source 1</t>
  </si>
  <si>
    <t xml:space="preserve">Source 2</t>
  </si>
  <si>
    <t xml:space="preserve">Source 3</t>
  </si>
  <si>
    <t xml:space="preserve">More Sources</t>
  </si>
  <si>
    <t xml:space="preserve">Discovery Batch</t>
  </si>
  <si>
    <t xml:space="preserve">Last Verified</t>
  </si>
  <si>
    <t xml:space="preserve">P001</t>
  </si>
  <si>
    <t xml:space="preserve">Alabama</t>
  </si>
  <si>
    <t xml:space="preserve">Southeast</t>
  </si>
  <si>
    <t xml:space="preserve">Statewide</t>
  </si>
  <si>
    <t xml:space="preserve">Local recall/referendum/charter petitions</t>
  </si>
  <si>
    <t xml:space="preserve">Party/independent ballot access (Alabama has no statewide citizen initiative)</t>
  </si>
  <si>
    <t xml:space="preserve">Candidate/party ballot access</t>
  </si>
  <si>
    <t xml:space="preserve">unknown</t>
  </si>
  <si>
    <t xml:space="preserve">42,459 for party or statewide independent (2026)</t>
  </si>
  <si>
    <t xml:space="preserve">May 19, 2026 (statewide). The U.S. House deadline moved to Aug 11, 2026 for CD 1, 2, 6 and 7 (passed).</t>
  </si>
  <si>
    <t xml:space="preserve">Checked Ballot Access News June 2026 only. Singleton v. Allen (May 26) struck the new districts. No verified paid petition activity. The search budget ran out before local petitions and job boards could be checked.</t>
  </si>
  <si>
    <t xml:space="preserve">https://ballot-access.org/2026/06/22/june-2026-ballot-access-news-print-edition/</t>
  </si>
  <si>
    <t xml:space="preserve">Pass 1 + Pass 2</t>
  </si>
  <si>
    <t xml:space="preserve">P002</t>
  </si>
  <si>
    <t xml:space="preserve">Alaska</t>
  </si>
  <si>
    <t xml:space="preserve">West</t>
  </si>
  <si>
    <t xml:space="preserve">Proposed initiative requiring state/federal candidates to gather signatures before running</t>
  </si>
  <si>
    <t xml:space="preserve">Require candidates for state and federal office in Alaska to gather petition signatures to get on the ballot</t>
  </si>
  <si>
    <t xml:space="preserve">Statutory initiative (application stage; likely 2028 target)</t>
  </si>
  <si>
    <t xml:space="preserve">Known only from the ADN headline (10/14/26); the article could not be fetched because robots.txt blocks it. Sponsors and status unverified.</t>
  </si>
  <si>
    <t xml:space="preserve">https://www.adn.com/politics/2026/10/14/proposed-ballot-initiative-would-require-alaska-federal-state-candidates-to-gather-signatures-before-running-for-office/</t>
  </si>
  <si>
    <t xml:space="preserve">Pass 1</t>
  </si>
  <si>
    <t xml:space="preserve">P003</t>
  </si>
  <si>
    <t xml:space="preserve">25ANMA - Alaska Natural Medicine Act</t>
  </si>
  <si>
    <t xml:space="preserve">Regulated natural medicine (psychedelics) program; decriminalize personal use for adults 21+</t>
  </si>
  <si>
    <t xml:space="preserve">Statutory initiative</t>
  </si>
  <si>
    <t xml:space="preserve">Natural Alaska Medicine Inc. (nonprofit)</t>
  </si>
  <si>
    <t xml:space="preserve">10% of voters in last general election, from at least 30 of 40 House districts (exact number unknown)</t>
  </si>
  <si>
    <t xml:space="preserve">Booklet filing deadline 2026-09-14 (passed)</t>
  </si>
  <si>
    <t xml:space="preserve">https://www.elections.alaska.gov/petitions-and-ballot-measures/petition-status/petition_id/gr8j9</t>
  </si>
  <si>
    <t xml:space="preserve">Circulation window ended 9/14/26. Whether booklets were filed or signatures are under review is unknown.</t>
  </si>
  <si>
    <t xml:space="preserve">https://www.elections.alaska.gov/petitions-and-ballot-measures/</t>
  </si>
  <si>
    <t xml:space="preserve">https://alaskabeacon.com/briefs/ballot-initiative-to-decriminalize-psychedelics-in-alaska-cleared-for-signature-gathering/</t>
  </si>
  <si>
    <t xml:space="preserve">P004</t>
  </si>
  <si>
    <t xml:space="preserve">25USCV - Only U.S. citizens may be qualified voters</t>
  </si>
  <si>
    <t xml:space="preserve">Amend AS 15.05.010 to state explicitly that only U.S. citizens meeting listed requirements may vote</t>
  </si>
  <si>
    <t xml:space="preserve">34,098 across 30 House districts</t>
  </si>
  <si>
    <t xml:space="preserve">Properly filed 2026-03-17; Nov 3, 2026 ballot unless legislature acts</t>
  </si>
  <si>
    <t xml:space="preserve">34,944 qualified across 40 House districts</t>
  </si>
  <si>
    <t xml:space="preserve">Certified 3/17/26. The AK petitions page still lists it as 'booklets circulating' with a 10/29/26 booklet deadline, which conflicts with the certification release and looks stale.</t>
  </si>
  <si>
    <t xml:space="preserve">https://www.elections.alaska.gov/lieutenant-governor-nancy-dahlstrom-certifies-proper-filing-of-ballot-initiative-petition-25uscv/</t>
  </si>
  <si>
    <t xml:space="preserve">P005</t>
  </si>
  <si>
    <t xml:space="preserve">Arizona</t>
  </si>
  <si>
    <t xml:space="preserve">Mountain/Southwest</t>
  </si>
  <si>
    <t xml:space="preserve">City of Scottsdale</t>
  </si>
  <si>
    <t xml:space="preserve">Axon headquarters / apartments zoning referendum</t>
  </si>
  <si>
    <t xml:space="preserve">Refer the city council's November 2024 approval of Axon's HQ campus and apartments to voters</t>
  </si>
  <si>
    <t xml:space="preserve">Municipal referendum</t>
  </si>
  <si>
    <t xml:space="preserve">Taxpayers Against Awful Apartment Zoning Exemptions (TAAAZE); signature drive described as union-linked</t>
  </si>
  <si>
    <t xml:space="preserve">unknown (city clerk certified it met the constitutional minimum)</t>
  </si>
  <si>
    <t xml:space="preserve">Filed December 2024; certified January 30, 2025</t>
  </si>
  <si>
    <t xml:space="preserve">More than 26,000</t>
  </si>
  <si>
    <t xml:space="preserve">https://www.scottsdaleaz.gov/elections/referendum</t>
  </si>
  <si>
    <t xml:space="preserve">Shows local referendum demand in Arizona. A state bill was moving to cancel the vote; whether it reached the November 2026 ballot was not verified.</t>
  </si>
  <si>
    <t xml:space="preserve">https://www.abc15.com/news/business/axon-headquarters-referendum-certified-by-city-of-scottsdale</t>
  </si>
  <si>
    <t xml:space="preserve">https://www.yahoo.com/news/collecting-26-000-signatures-scottsdale-195209122.html</t>
  </si>
  <si>
    <t xml:space="preserve">P006</t>
  </si>
  <si>
    <t xml:space="preserve">Protect the Vote Arizona (constitutional right to early and mail-in voting)</t>
  </si>
  <si>
    <t xml:space="preserve">Put early and mail voting into the Arizona Constitution</t>
  </si>
  <si>
    <t xml:space="preserve">Statewide constitutional amendment initiative</t>
  </si>
  <si>
    <t xml:space="preserve">Protect the Vote Arizona (funded largely by United Food and Commercial Workers and other unions, per KJZZ)</t>
  </si>
  <si>
    <t xml:space="preserve">unknown (Lumen Strategies managed the campaign; Lumen is a PR/consulting firm, not confirmed as the signature vendor)</t>
  </si>
  <si>
    <t xml:space="preserve">383,923 valid</t>
  </si>
  <si>
    <t xml:space="preserve">July 2, 2026 (campaign chose not to file)</t>
  </si>
  <si>
    <t xml:space="preserve">About 439,000 gathered, not submitted</t>
  </si>
  <si>
    <t xml:space="preserve">Stacy Pearson (spokesperson; Lumen Strategies co-founder)</t>
  </si>
  <si>
    <t xml:space="preserve">Dropped because the expected validity rate was too low. Arizona Agenda said the drive was 'largely undertaken by volunteers' (about 1,700 circulators). It is a possible 2028 refile, but no source mentions 2028 plans.</t>
  </si>
  <si>
    <t xml:space="preserve">https://www.kjzz.org/elections/2026-07-02/arizona-group-drops-petition-to-enshrine-early-voting-in-the-state-constitution</t>
  </si>
  <si>
    <t xml:space="preserve">https://www.arizonaagenda.com/p/protect-the-vote-s-final-push</t>
  </si>
  <si>
    <t xml:space="preserve">P007</t>
  </si>
  <si>
    <t xml:space="preserve">Protect Education, Accountability Now (ESA limits)</t>
  </si>
  <si>
    <t xml:space="preserve">Limit Empowerment Scholarship Account eligibility to families earning under $150,000 (starting 2027-28) and bar luxury purchases and paying family members</t>
  </si>
  <si>
    <t xml:space="preserve">Statewide initiated statute</t>
  </si>
  <si>
    <t xml:space="preserve">Protect Education, Accountability Now campaign (endorsed by Arizona Education Association and Save Our Schools Arizona)</t>
  </si>
  <si>
    <t xml:space="preserve">255,949 valid</t>
  </si>
  <si>
    <t xml:space="preserve">July 2, 2026 (submitted)</t>
  </si>
  <si>
    <t xml:space="preserve">421,451 submitted</t>
  </si>
  <si>
    <t xml:space="preserve">Only one of six 2026 Arizona initiatives filed signatures. No firm named in the source. A 400K+ drive in Arizona almost always uses paid circulators, but no source here confirms it. Check the AZ SOS paid-circulator registry or SeeTheMoney to see who was paid.</t>
  </si>
  <si>
    <t xml:space="preserve">https://news.ballotpedia.org/2026/07/07/arizona-campaign-submits-421451-signatures-for-initiative-to-limit-empowerment-scholarship-account-eligibility-and-spending/</t>
  </si>
  <si>
    <t xml:space="preserve">P008</t>
  </si>
  <si>
    <t xml:space="preserve">South</t>
  </si>
  <si>
    <t xml:space="preserve">Benson (Cochise County)</t>
  </si>
  <si>
    <t xml:space="preserve">Benson recall - Mayor Joe Konrad and 4 council members</t>
  </si>
  <si>
    <t xml:space="preserve">Recall city officials</t>
  </si>
  <si>
    <t xml:space="preserve">Municipal recall</t>
  </si>
  <si>
    <t xml:space="preserve">Committee for a Better Benson</t>
  </si>
  <si>
    <t xml:space="preserve">Konrad 327; Johnson 301; Boyle, Hayes, Maldonado 267 each</t>
  </si>
  <si>
    <t xml:space="preserve">Petitions submitted Oct 29 2025</t>
  </si>
  <si>
    <t xml:space="preserve">Follow-up headline indicates the Konrad recall 'fell short for common petition issues' (article body not fetched). No active AZ recall verified.</t>
  </si>
  <si>
    <t xml:space="preserve">https://www.myheraldreview.com/news/benson/recall-effort-could-oust-benson-mayor-and-4-of-6-council-members/article_c4e47701-9375-4059-90af-f546cb7905ba.amp.html</t>
  </si>
  <si>
    <t xml:space="preserve">https://www.myheraldreview.com/news/benson/konrad-recall-effort-fell-short-for-common-petition-issues/article_b2a9d91b-bf7d-4406-98cc-26ee613abe78.amp.html</t>
  </si>
  <si>
    <t xml:space="preserve">Pass 2 (gap-fill)</t>
  </si>
  <si>
    <t xml:space="preserve">P009</t>
  </si>
  <si>
    <t xml:space="preserve">Phoenix</t>
  </si>
  <si>
    <t xml:space="preserve">Right-Size Consulting paid petition canvassing program</t>
  </si>
  <si>
    <t xml:space="preserve">Petition signature collection (campaign not named)</t>
  </si>
  <si>
    <t xml:space="preserve">Right-Size Consulting</t>
  </si>
  <si>
    <t xml:space="preserve">$20/hour</t>
  </si>
  <si>
    <t xml:space="preserve">https://careers.arena.run/companies/job-post-2/jobs/68651818-right-size-consulting-canvasser</t>
  </si>
  <si>
    <t xml:space="preserve">email listed on posting (obfuscated in fetch)</t>
  </si>
  <si>
    <t xml:space="preserve">Posted Feb 25 2026, before the July 2 2026 AZ filing deadline; likely tied to 2026 cycle. Current status unknown.</t>
  </si>
  <si>
    <t xml:space="preserve">P010</t>
  </si>
  <si>
    <t xml:space="preserve">Arkansas</t>
  </si>
  <si>
    <t xml:space="preserve">Plains/Texas</t>
  </si>
  <si>
    <t xml:space="preserve">Protect AR Rights – Ballot Measure Rights Amendment</t>
  </si>
  <si>
    <t xml:space="preserve">Constitutional amendment protecting the right to initiative/referendum; bar the legislature from amending or repealing citizen amendments</t>
  </si>
  <si>
    <t xml:space="preserve">Statewide constitutional initiative, 2026</t>
  </si>
  <si>
    <t xml:space="preserve">Protect AR Rights (ballot question committee; member org Arkansas Public Policy Panel, Exec. Dir. Bill Kopsky)</t>
  </si>
  <si>
    <t xml:space="preserve">90,704 verified</t>
  </si>
  <si>
    <t xml:space="preserve">July 3, 2026 (submitted)</t>
  </si>
  <si>
    <t xml:space="preserve">108,837 submitted</t>
  </si>
  <si>
    <t xml:space="preserve">Bill Kopsky (Arkansas Public Policy Panel)</t>
  </si>
  <si>
    <t xml:space="preserve">The AR SOS page lists 'None' citizen-initiated measures for the 2026 general election, so this measure apparently did not qualify (reason not found). A federal judgment (WD Ark., Aug 21, 2026) struck down some Arkansas initiative restrictions. No 2028 AG-certified ballot titles were found, and the paid canvasser registration list was not checked.</t>
  </si>
  <si>
    <t xml:space="preserve">https://news.ballotpedia.org/2026/07/08/signatures-submitted-for-arkansas-initiative-to-prohibit-the-state-legislature-from-amending-or-repealing-constitutional-amendments-and-require-voter-approval-for-changes-to-the-initiative-and-referen/</t>
  </si>
  <si>
    <t xml:space="preserve">https://arkansasadvocate.com/2025/07/28/arkansas-attorney-general-approves-second-direct-democracy-ballot-title/</t>
  </si>
  <si>
    <t xml:space="preserve">https://www.sos.arkansas.gov/elections/initiatives-and-referenda</t>
  </si>
  <si>
    <t xml:space="preserve">P011</t>
  </si>
  <si>
    <t xml:space="preserve">California</t>
  </si>
  <si>
    <t xml:space="preserve">Repeal Top-Two Open Primary (SOS #2022 / AG 26-0004)</t>
  </si>
  <si>
    <t xml:space="preserve">Repeal California's top-two open primary system adopted by voters in 2010</t>
  </si>
  <si>
    <t xml:space="preserve">Initiative constitutional amendment (Nov 7, 2028 ballot)</t>
  </si>
  <si>
    <t xml:space="preserve">Proponent: Steven Maviglio (Democratic consultant). Supporters named by proponent include California Labor Federation, Greens, Carl DeMaio, a former Republican Party chair</t>
  </si>
  <si>
    <t xml:space="preserve">874,641 valid</t>
  </si>
  <si>
    <t xml:space="preserve">2027-01-11 (end of 180-day circulation period; submit to county elections officials)</t>
  </si>
  <si>
    <t xml:space="preserve">unknown (CA SOS 25%-signature list showed 'None at this time' when checked)</t>
  </si>
  <si>
    <t xml:space="preserve">unknown (no committee appeared on FPPC pending/circulating top-contributor lists checked)</t>
  </si>
  <si>
    <t xml:space="preserve">Steven Maviglio (proponent of record)</t>
  </si>
  <si>
    <t xml:space="preserve">Proponent email published by CA SOS: steven.maviglio@gmail.com</t>
  </si>
  <si>
    <t xml:space="preserve">undothetoptwo.com</t>
  </si>
  <si>
    <t xml:space="preserve">Only CA statewide initiative still in circulation (cleared 7/14/26, deadline 1/11/27). Needing ~875k valid signatures in 180 days normally implies paid circulation, but no source found confirming a firm, pay rate or committee spending. Check Cal-Access for the committee's payments to petition firms. No 25% report filed as of check.</t>
  </si>
  <si>
    <t xml:space="preserve">https://www.sos.ca.gov/administration/news-releases-and-advisories/2026-news-releases-and-advisories/proposed-initiative-enters-circulation-repeals-top-two-open-primary-election-process-initiative-constitutional-amendment</t>
  </si>
  <si>
    <t xml:space="preserve">https://www.kpbs.org/news/politics/2026/07/16/effort-to-repeal-californias-top-two-jungle-primary-system-is-closer-to-qualifying-for-the-2028-ballot</t>
  </si>
  <si>
    <t xml:space="preserve">https://ivn.us/more-choice-california-launches-to-defend-nonpartisan-primary-as-democratic-and-republican-operatives-quietly-join-forces-to-repeal-it-2026-05-13/</t>
  </si>
  <si>
    <t xml:space="preserve">https://fox5sandiego.com/news/no-more-jungle-primary-a-new-initiative-would-end-californias-top-two-system/amp/; https://www.fppc.ca.gov/transparency/top-contributors/nov-26-gen/pending-circulating-ballot-measures.html; https://sos.ca.gov/elections/ballot-measures/initiative-and-referendum-status/initiatives-referenda-cleared-circulation; https://sos.ca.gov/elections/ballot-measures/initiative-and-referendum-status/circulating-initiatives-25percent-signatures; https://ballot-access.org/?p=93674</t>
  </si>
  <si>
    <t xml:space="preserve">P012</t>
  </si>
  <si>
    <t xml:space="preserve">Exempts Additional Food Products from State and Local Sales Taxes (SOS #2023 / AG 26-0005)</t>
  </si>
  <si>
    <t xml:space="preserve">Constitutional amendment expanding sales-tax exemption for food products</t>
  </si>
  <si>
    <t xml:space="preserve">Initiative constitutional amendment</t>
  </si>
  <si>
    <t xml:space="preserve">John Pimentel (proponent)</t>
  </si>
  <si>
    <t xml:space="preserve">2027-03-24</t>
  </si>
  <si>
    <t xml:space="preserve">John Pimentel</t>
  </si>
  <si>
    <t xml:space="preserve">John Pimentel, 20 Park Road, Burlingame, CA 94010; (650) 269-8933; John@JohnPimentel.com (per CA SOS release PR26-122)</t>
  </si>
  <si>
    <t xml:space="preserve">Entered circulation Sept 25, 2026. It is the newest CA statewide initiative in circulation, per the SOS 2026 release index. No funding committee, firm or signature drive activity was found. A proponent with no visible funding is a possible client for a feasibility or full-campaign pitch.</t>
  </si>
  <si>
    <t xml:space="preserve">https://www.sos.ca.gov/administration/news-releases-and-advisories/2026-news-releases-and-advisories/california-secretary-state-shirley-n-weber-phd-announces-proposed-initiative-has-entered-circulation-exempts-additional-food-pro</t>
  </si>
  <si>
    <t xml:space="preserve">https://www.sos.ca.gov/administration/news-releases-and-advisories/2026-news-releases-and-advisories</t>
  </si>
  <si>
    <t xml:space="preserve">P013</t>
  </si>
  <si>
    <t xml:space="preserve">Los Angeles and surrounding areas</t>
  </si>
  <si>
    <t xml:space="preserve">Urban Signers LLC - Signature Collector (unnamed petition projects)</t>
  </si>
  <si>
    <t xml:space="preserve">Paid signature collection for unnamed 'official petition and local campaign projects'</t>
  </si>
  <si>
    <t xml:space="preserve">unknown (local/official petitions, unspecified)</t>
  </si>
  <si>
    <t xml:space="preserve">Urban Signers LLC</t>
  </si>
  <si>
    <t xml:space="preserve">$5 or $10 per signature depending on project; advertised $200-$1,000/day; paid weekly or bi-weekly</t>
  </si>
  <si>
    <t xml:space="preserve">https://urban-signers-llc.careerplug.com/jobs/3365854</t>
  </si>
  <si>
    <t xml:space="preserve">Apply via CareerPlug form only; no phone/email listed</t>
  </si>
  <si>
    <t xml:space="preserve">Paid job ad; page metadata updated 2026-10-16 (original post date unknown). Names no specific petition, and the only statewide CA petition circulating is the top-two repeal, so which projects are active is unverified.</t>
  </si>
  <si>
    <t xml:space="preserve">P014</t>
  </si>
  <si>
    <t xml:space="preserve">Prohibit use after 2026 of Prop 50 temporary congressional maps (AG 25-0031)</t>
  </si>
  <si>
    <t xml:space="preserve">Constitutional amendment ending the 2025 voter-adopted temporary congressional maps after 2026</t>
  </si>
  <si>
    <t xml:space="preserve">James V. Lacy (proponent)</t>
  </si>
  <si>
    <t xml:space="preserve">2026-07-13</t>
  </si>
  <si>
    <t xml:space="preserve">James V. Lacy</t>
  </si>
  <si>
    <t xml:space="preserve">c/o Bradley W. Hertz, Esq., 22815 Ventura Blvd #405, Los Angeles, CA 91364; (818) 593-2949; brad@bradleyhertzlaw.com (per CA SOS release PR26-08)</t>
  </si>
  <si>
    <t xml:space="preserve">The circulation window has closed and the outcome was not verified.</t>
  </si>
  <si>
    <t xml:space="preserve">https://www.sos.ca.gov/administration/news-releases-and-advisories/2026-news-releases-and-advisories/proposed-initiative-enters-circulation-prohibits-use-after-2026-temporary-congressional-district-maps-adopted-voters-2025-respon</t>
  </si>
  <si>
    <t xml:space="preserve">P015</t>
  </si>
  <si>
    <t xml:space="preserve">Exempts Homeowners 60+ from Property Taxes (AG 25-0035)</t>
  </si>
  <si>
    <t xml:space="preserve">Constitutional amendment exempting certain homeowners aged 60+ from property taxes</t>
  </si>
  <si>
    <t xml:space="preserve">Rishi Kumar (proponent)</t>
  </si>
  <si>
    <t xml:space="preserve">2026-08-04</t>
  </si>
  <si>
    <t xml:space="preserve">Rishi Kumar</t>
  </si>
  <si>
    <t xml:space="preserve">P.O. Box 110484, Campbell, CA 95011; (408) 805-5993; VoteRishiKumar@gmail.com (per CA SOS release PR26-21)</t>
  </si>
  <si>
    <t xml:space="preserve">The circulation window has closed. Whether signatures were submitted is unknown. The proponent could refile for 2028.</t>
  </si>
  <si>
    <t xml:space="preserve">https://www.sos.ca.gov/administration/news-releases-and-advisories/2026-news-releases-and-advisories/proposed-initiative-enters-circulation-exempts-certain-homeowners-aged-60-or-older-property-taxes-initiative-constitutional-amen</t>
  </si>
  <si>
    <t xml:space="preserve">P016</t>
  </si>
  <si>
    <t xml:space="preserve">Changes Ballot Initiative Procedures and Elections (AG 26-0001/26-0002; SOS #2019/#2020)</t>
  </si>
  <si>
    <t xml:space="preserve">Change ballot initiative procedures and elections (constitutional amendment and statute)</t>
  </si>
  <si>
    <t xml:space="preserve">Initiative constitutional amendment and statute</t>
  </si>
  <si>
    <t xml:space="preserve">Thomas Jefferson Cares (proponent)</t>
  </si>
  <si>
    <t xml:space="preserve">2026-10-05 (passed)</t>
  </si>
  <si>
    <t xml:space="preserve">unknown (no 25% report on SOS list)</t>
  </si>
  <si>
    <t xml:space="preserve">12816 Inglewood Ave #383, Hawthorne, CA 90250; (310) 929-0260; Tom@UH.do (as published by CA SOS)</t>
  </si>
  <si>
    <t xml:space="preserve">Circulation deadline passed 10/5/26. No evidence of paid circulation or a 25% signature report, so it almost certainly did not qualify.</t>
  </si>
  <si>
    <t xml:space="preserve">https://www.sos.ca.gov/administration/news-releases-and-advisories/2026-news-releases-and-advisories/california-secretary-state-shirley-n-weber-phd-announces-proposed-initiative-has-entered-circulation-changes-ballot-initiative-p</t>
  </si>
  <si>
    <t xml:space="preserve">https://sos.ca.gov/elections/ballot-measures/initiative-and-referendum-status/initiatives-referenda-cleared-circulation</t>
  </si>
  <si>
    <t xml:space="preserve">P017</t>
  </si>
  <si>
    <t xml:space="preserve">Changes Ballot Initiative Procedures (AG 26-0001) and California Strategic Implementation Board (AG 26-0003)</t>
  </si>
  <si>
    <t xml:space="preserve">Create a California Strategic Implementation Board to change numerous aspects of state law and government</t>
  </si>
  <si>
    <t xml:space="preserve">2026-10-13 (passed)</t>
  </si>
  <si>
    <t xml:space="preserve">(310) 929-0260; Tom@UH.do (proponent contact CA SOS published for this proponent's related measure)</t>
  </si>
  <si>
    <t xml:space="preserve">Circulation deadline passed 10/13/26; no signs of a paid drive. The SOS cleared-for-circulation list also shows a fourth entry with this same title under Steven Maviglio (SOS #2022, deadline 1/11/27), but the SOS press release for #2022 gives the top-two repeal title. Likely a listing error; the top-two record above relies on the press release.</t>
  </si>
  <si>
    <t xml:space="preserve">https://www.sos.ca.gov/administration/news-releases-and-advisories/2026-news-releases-and-advisories/california-secretary-state-shirley-n-weber-phd-announces-proposed-initiative-has-entered-circulation</t>
  </si>
  <si>
    <t xml:space="preserve">P018</t>
  </si>
  <si>
    <t xml:space="preserve">CA per-signature pay benchmark - Billionaire Tax and counter-measure (2026 cycle)</t>
  </si>
  <si>
    <t xml:space="preserve">Market pay-rate evidence for CA paid circulators</t>
  </si>
  <si>
    <t xml:space="preserve">Initiative (statewide)</t>
  </si>
  <si>
    <t xml:space="preserve">Billionaire Tax Act supporters; the counter-measure was backed by Sergey Brin among others</t>
  </si>
  <si>
    <t xml:space="preserve">unknown (data cited from consulting firm Bicker, Castillo, Fairbanks &amp; Spitz)</t>
  </si>
  <si>
    <t xml:space="preserve">Completed (2026 cycle)</t>
  </si>
  <si>
    <t xml:space="preserve">$12 per signature (billionaire tax, up from $4 in fall 2025); $15 per signature (counter-measure), as of late Feb 2026</t>
  </si>
  <si>
    <t xml:space="preserve">This is pay-rate context, not an open job. No current (Oct 2026) CA circulator job ad with a stated pay rate was verified: a Craigslist WA ad and a JobsInGovernment Carter Consulting ad could not be retrieved.</t>
  </si>
  <si>
    <t xml:space="preserve">https://sfstandard.com/2026/03/05/california-ballot-bounties-have-gone-wild/</t>
  </si>
  <si>
    <t xml:space="preserve">P019</t>
  </si>
  <si>
    <t xml:space="preserve">Los Angeles (Van Nuys, Koreatown, NE LA, South LA)</t>
  </si>
  <si>
    <t xml:space="preserve">The Outreach Team - LA petitioners (corporate accountability initiative + LA Fire Department expansion initiative)</t>
  </si>
  <si>
    <t xml:space="preserve">Signature gathering for two LA ballot initiatives: hold large corporations accountable/reinvest in communities; expand the LA Fire Department</t>
  </si>
  <si>
    <t xml:space="preserve">Local (City of Los Angeles) ballot initiatives</t>
  </si>
  <si>
    <t xml:space="preserve">The Outreach Team</t>
  </si>
  <si>
    <t xml:space="preserve">Job posting closed 2026-05-19</t>
  </si>
  <si>
    <t xml:space="preserve">$27/hr base, $28/hr leads, $20-$150 daily bonuses, +$2/hr bilingual, overtime, referral bonuses</t>
  </si>
  <si>
    <t xml:space="preserve">https://www.theoutreachteam.net/interest-form-tot</t>
  </si>
  <si>
    <t xml:space="preserve">https://www.theoutreachteam.net</t>
  </si>
  <si>
    <t xml:space="preserve">Confirmed paid hourly drive but expired (closed 5/19/26). Useful because The Outreach Team is an hourly-pay firm active in LA local measures. Measure outcomes not checked.</t>
  </si>
  <si>
    <t xml:space="preserve">https://la2050.org/job/the-outreach-team-petitioners-make-a-difference-dollars-27-dollars-28-hr-bonuses</t>
  </si>
  <si>
    <t xml:space="preserve">P020</t>
  </si>
  <si>
    <t xml:space="preserve">City of San Diego</t>
  </si>
  <si>
    <t xml:space="preserve">Balboa Park Free Parking Restoration Act / Trash fee repeal petitions</t>
  </si>
  <si>
    <t xml:space="preserve">Repeal Balboa Park paid parking and the city trash fee</t>
  </si>
  <si>
    <t xml:space="preserve">Municipal initiative (with council-rehear threshold)</t>
  </si>
  <si>
    <t xml:space="preserve">Richard Bailey (Balboa Park measure); San Diego United Communities (Margaret Virissimo)</t>
  </si>
  <si>
    <t xml:space="preserve">About 81,000-82,000 verified for the ballot; about 24,000-24,500 to force a council rehearing</t>
  </si>
  <si>
    <t xml:space="preserve">June 2026 (exact date unknown)</t>
  </si>
  <si>
    <t xml:space="preserve">Richard Bailey; Margaret Virissimo</t>
  </si>
  <si>
    <t xml:space="preserve">repealthefees.com</t>
  </si>
  <si>
    <t xml:space="preserve">Volunteer drives that targeted the Nov 2026 ballot. The deadlines have passed and outcomes were not verified. Fee disputes like these show local demand that could recur.</t>
  </si>
  <si>
    <t xml:space="preserve">https://timesofsandiego.com/politics/2026/04/05/petition-to-repeal-parking-fees-at-balboa-park-cleared-to-gather-signatures/</t>
  </si>
  <si>
    <t xml:space="preserve">https://www.10news.com/news/local-news/san-diego-petition-drive-targets-trash-fee-balboa-park-parking-charges-on-mothers-day</t>
  </si>
  <si>
    <t xml:space="preserve">P021</t>
  </si>
  <si>
    <t xml:space="preserve">UC support staff first-time homebuyer down payment loan program initiative</t>
  </si>
  <si>
    <t xml:space="preserve">Require UC to create a down payment loan program (20% of home value) for eligible UC support staff</t>
  </si>
  <si>
    <t xml:space="preserve">Initiative constitutional amendment (qualified for Nov 7, 2028 ballot)</t>
  </si>
  <si>
    <t xml:space="preserve">AFSCME Local 3299</t>
  </si>
  <si>
    <t xml:space="preserve">Qualified 2026-10-02; withdrawal deadline 2028-06-29</t>
  </si>
  <si>
    <t xml:space="preserve">1,265,569 raw submitted; 947,631 valid (full count)</t>
  </si>
  <si>
    <t xml:space="preserve">AFSCME 3299 (sponsor)</t>
  </si>
  <si>
    <t xml:space="preserve">First initiative qualified for CA 2028 ballot. Drive is finished; useful as a sign that AFSCME 3299 runs large signature drives. Firm and spending not reported in source; check Cal-Access.</t>
  </si>
  <si>
    <t xml:space="preserve">https://news.ballotpedia.org/2026/10/06/first-initiative-qualifies-for-the-2028-ballot-in-california/</t>
  </si>
  <si>
    <t xml:space="preserve">P022</t>
  </si>
  <si>
    <t xml:space="preserve">Colorado</t>
  </si>
  <si>
    <t xml:space="preserve">Colorado Springs and Denver</t>
  </si>
  <si>
    <t xml:space="preserve">2027 municipal elections - candidate nominating petitions (Colorado Springs Apr 6, 2027; Denver 2027 municipal)</t>
  </si>
  <si>
    <t xml:space="preserve">Candidate petitions for Colorado Springs Mayor and 3 At-Large Council seats, plus district seats; Denver 2027 municipal candidate petitions of nomination</t>
  </si>
  <si>
    <t xml:space="preserve">Candidate ballot access petition</t>
  </si>
  <si>
    <t xml:space="preserve">Individual candidates (not yet known)</t>
  </si>
  <si>
    <t xml:space="preserve">Colorado Springs candidate filing Jan 4-25, 2027; Denver deadline per the 2027 candidate packet (not read in detail)</t>
  </si>
  <si>
    <t xml:space="preserve">Candidates (TBD)</t>
  </si>
  <si>
    <t xml:space="preserve">Colorado Springs City Clerk; Denver Clerk and Recorder Elections Division</t>
  </si>
  <si>
    <t xml:space="preserve">https://mayor.coloradosprings.gov/city-clerk/page/candidate-and-campaign-information</t>
  </si>
  <si>
    <t xml:space="preserve">This is a real upcoming petition window. Paid circulation is NOT confirmed; municipal candidate petitions are often volunteer-gathered. Also, Colorado's 2027-28 statewide title board list could not be read (the SOS 2027-2028 filings page was blocked), so statewide 2028 filings are unverified. Any paid entity must be licensed by the CO SOS and its circulators must wear 'PAID CIRCULATOR' badges.</t>
  </si>
  <si>
    <t xml:space="preserve">https://www.denvergov.org/files/assets/public/v/1/clerk-and-recorder/documents/elections/guides/2027-municipal-candidate-information-packet-pdf-version.pdf</t>
  </si>
  <si>
    <t xml:space="preserve">P023</t>
  </si>
  <si>
    <t xml:space="preserve">Protect Kids Colorado Initiatives #108, #109, #110 (now Propositions 133, 134, 135)</t>
  </si>
  <si>
    <t xml:space="preserve">#108 life sentence for child sex trafficking; #109 restrict transgender students in sports; #110 ban certain gender-affirming procedures for minors</t>
  </si>
  <si>
    <t xml:space="preserve">Statewide initiated statutes</t>
  </si>
  <si>
    <t xml:space="preserve">Protect Kids Colorado (Executive Director Erin Lee; founder Kevin Lundberg); Protect our Children Issue Committee for fundraising</t>
  </si>
  <si>
    <t xml:space="preserve">Taylor Petition Management (Tracy Taylor), registered with the state for #108-110</t>
  </si>
  <si>
    <t xml:space="preserve">124,238 valid each</t>
  </si>
  <si>
    <t xml:space="preserve">#108 Feb 16, 2026; #109 and #110 Feb 20, 2026 (all submitted by Feb 20)</t>
  </si>
  <si>
    <t xml:space="preserve">Group said more than 170,000 submitted for each</t>
  </si>
  <si>
    <t xml:space="preserve">Erin Lee (Executive Director); Michele Austin (proponent/strategist)</t>
  </si>
  <si>
    <t xml:space="preserve">https://protectkidscolorado.org</t>
  </si>
  <si>
    <t xml:space="preserve">Confirmed paid by the end: the drive switched from volunteers to a licensed paid petition entity (Taylor Petition Management), and all three qualified as Props 133-135. Proves Taylor Petition Management is active in Colorado.</t>
  </si>
  <si>
    <t xml:space="preserve">https://coloradotimesrecorder.com/2026/02/activists-now-paying-for-signatures-for-anti-trans-ballot-measures/76656/</t>
  </si>
  <si>
    <t xml:space="preserve">https://completecolorado.com/2025/09/05/ballot-measures-protecting-kids-signature-gathering/</t>
  </si>
  <si>
    <t xml:space="preserve">https://kiowacountypress.net/content/14-measures-will-appear-colorados-statewide-ballot-2026</t>
  </si>
  <si>
    <t xml:space="preserve">P024</t>
  </si>
  <si>
    <t xml:space="preserve">Initiative 177 - right to buy and use natural gas for cooking and heating</t>
  </si>
  <si>
    <t xml:space="preserve">Constitutional right to purchase and sell natural gas for homes and businesses</t>
  </si>
  <si>
    <t xml:space="preserve">Statewide constitutional initiative</t>
  </si>
  <si>
    <t xml:space="preserve">Advance Colorado; funders for signatures Colorado Dawn and A Common Sense America</t>
  </si>
  <si>
    <t xml:space="preserve">124,238 valid</t>
  </si>
  <si>
    <t xml:space="preserve">Filed June 24, 2026; verification due by Aug 21, 2026</t>
  </si>
  <si>
    <t xml:space="preserve">Colorado Dawn $750,000 for signatures; A Common Sense America $625,000 to help collect signatures (per KUNC)</t>
  </si>
  <si>
    <t xml:space="preserve">About $1.375M was earmarked for signatures, which is strong evidence of paid circulation. Advance Colorado is linked to 6 of the 13 citizen initiatives on the 2026 CO ballot (Amendments 81, 82, 85, 86 and Props 132, 136), making it the largest repeat buyer of petition work in the region. KUNC puts the cost at $1M-$3M per measure. Firm names are in the CO SOS paid-circulator reports and TRACER, which were not read.</t>
  </si>
  <si>
    <t xml:space="preserve">https://news.ballotpedia.org/2026/06/26/signatures-submitted-for-colorado-initiative-for-the-right-to-purchase-and-sell-natural-gas-for-cooking-and-heating-in-homes-or-businesses/</t>
  </si>
  <si>
    <t xml:space="preserve">https://www.kunc.org/politics/2026-08-21/colorado-ballot-questions-meant-to-keep-special-interests-in-check-are-increasingly-created-by-them</t>
  </si>
  <si>
    <t xml:space="preserve">P025</t>
  </si>
  <si>
    <t xml:space="preserve">City and County of Denver</t>
  </si>
  <si>
    <t xml:space="preserve">Denver force-feeding / foie gras ban initiated ordinance</t>
  </si>
  <si>
    <t xml:space="preserve">Ban force-feeding birds and the sale of force-fed products in Denver</t>
  </si>
  <si>
    <t xml:space="preserve">Municipal initiated ordinance</t>
  </si>
  <si>
    <t xml:space="preserve">Pro-Animal Colorado</t>
  </si>
  <si>
    <t xml:space="preserve">Nov 3, 2026 ballot</t>
  </si>
  <si>
    <t xml:space="preserve">The only citizen-initiated Denver measure for Nov 2026 per Brownstein. Whether circulators were paid or volunteers is unknown.</t>
  </si>
  <si>
    <t xml:space="preserve">https://www.bhfs.com/insight/denvers-2026-ballot-takes-shape-key-initiatives-and-the-at-large-city-council-vacancy-election/</t>
  </si>
  <si>
    <t xml:space="preserve">https://www.denvergov.org/files/assets/public/v/1/clerk-and-recorder/documents/elections-division/2025/measures/force-feeding-sample-petition-stapled-copy-with-blue-manuscript.pdf</t>
  </si>
  <si>
    <t xml:space="preserve">P026</t>
  </si>
  <si>
    <t xml:space="preserve">Denver metro and Colorado Springs</t>
  </si>
  <si>
    <t xml:space="preserve">Landslide Political - candidate signature gathering and canvassing (Colorado)</t>
  </si>
  <si>
    <t xml:space="preserve">Signature gathering to qualify 2026 candidates for the Colorado ballot, plus door-to-door canvassing</t>
  </si>
  <si>
    <t xml:space="preserve">Candidate ballot access petition / canvass</t>
  </si>
  <si>
    <t xml:space="preserve">Unnamed 2026 candidates</t>
  </si>
  <si>
    <t xml:space="preserve">Landslide Political</t>
  </si>
  <si>
    <t xml:space="preserve">$25/hour ($150 per 6-hour shift), paid weekly</t>
  </si>
  <si>
    <t xml:space="preserve">https://landslidepolitical.recruitee.com/o/canvasser-hiring-immediately-denver-metro-area-25hr</t>
  </si>
  <si>
    <t xml:space="preserve">Apply via the Recruitee posting; no phone or email listed</t>
  </si>
  <si>
    <t xml:space="preserve">https://landslidepolitical.recruitee.com</t>
  </si>
  <si>
    <t xml:space="preserve">The posting is still live but undated and refers to 2026 ballot qualification, which is over. Landslide keeps standing postings, so it could re-staff for 2027 municipal or 2028 work. That is unconfirmed.</t>
  </si>
  <si>
    <t xml:space="preserve">https://landslidepolitical.recruitee.com/o/canvasser-hiring-immediately-colorado-springs-25hr</t>
  </si>
  <si>
    <t xml:space="preserve">P027</t>
  </si>
  <si>
    <t xml:space="preserve">Colorado Springs</t>
  </si>
  <si>
    <t xml:space="preserve">Killin for Colorado - candidate ballot-access petition</t>
  </si>
  <si>
    <t xml:space="preserve">Collect signatures to put a Democratic candidate on the 2026 ballot</t>
  </si>
  <si>
    <t xml:space="preserve">Killin for Colorado (candidate committee)</t>
  </si>
  <si>
    <t xml:space="preserve">503 Strategies (recruiting contact domain)</t>
  </si>
  <si>
    <t xml:space="preserve">unknown (2026 candidate petition period is over)</t>
  </si>
  <si>
    <t xml:space="preserve">$30/hour, 10-30 hrs/week</t>
  </si>
  <si>
    <t xml:space="preserve">https://jobs.arena.run/jobs/paid-petition-circulator-reci-b-ea-nzesly5-h-kl/</t>
  </si>
  <si>
    <t xml:space="preserve">annika@503-strategies.com (from job posting)</t>
  </si>
  <si>
    <t xml:space="preserve">The job posting confirms a paid circulator role, but it is undated and tied to the 2026 ballot, so it has expired. It shows 503 Strategies does paid candidate petitioning in Colorado.</t>
  </si>
  <si>
    <t xml:space="preserve">https://careers.arena.run/companies/job-post-2/jobs/64551809-killin-for-colorado-paid-petition-circulator</t>
  </si>
  <si>
    <t xml:space="preserve">P028</t>
  </si>
  <si>
    <t xml:space="preserve">Connecticut</t>
  </si>
  <si>
    <t xml:space="preserve">Northeast</t>
  </si>
  <si>
    <t xml:space="preserve">Statewide/local</t>
  </si>
  <si>
    <t xml:space="preserve">n/a</t>
  </si>
  <si>
    <t xml:space="preserve">Not researched: search budget exhausted. CT has no statewide citizen initiative, so look at town referendum petitions on budgets and ordinances and at 2027 municipal candidate petitions. Needs a follow-up pass.</t>
  </si>
  <si>
    <t xml:space="preserve">P029</t>
  </si>
  <si>
    <t xml:space="preserve">Delaware</t>
  </si>
  <si>
    <t xml:space="preserve">Not researched: search budget exhausted. Delaware has no statewide citizen initiative. Needs a follow-up pass on municipal petitions and minor-party ballot access.</t>
  </si>
  <si>
    <t xml:space="preserve">P030</t>
  </si>
  <si>
    <t xml:space="preserve">District of Columbia</t>
  </si>
  <si>
    <t xml:space="preserve">Citywide</t>
  </si>
  <si>
    <t xml:space="preserve">Initiative 87: DC Living Wage for All ($25 minimum wage)</t>
  </si>
  <si>
    <t xml:space="preserve">Raise DC minimum wage to $25 by July 1, 2029 and phase out tipped subminimum by 2031</t>
  </si>
  <si>
    <t xml:space="preserve">Initiative (DC citywide)</t>
  </si>
  <si>
    <t xml:space="preserve">One Fair Wage (president Saru Jayaraman); proposer Trupti Patel per 51st</t>
  </si>
  <si>
    <t xml:space="preserve">About 26,000 per Hoodline (5% of registered voters citywide and in 5 of 8 wards)</t>
  </si>
  <si>
    <t xml:space="preserve">180 days from petition adoption (exact date unknown); target is a 2027 DC special election</t>
  </si>
  <si>
    <t xml:space="preserve">unknown (organizers declined to say for the first attempt)</t>
  </si>
  <si>
    <t xml:space="preserve">Volunteer shift signup via Mobilize on https://onefairwage.org/dc (no paid positions listed)</t>
  </si>
  <si>
    <t xml:space="preserve">Saru Jayaraman, President, One Fair Wage</t>
  </si>
  <si>
    <t xml:space="preserve">One Fair Wage, 275 7th Ave, 15th Floor, New York, NY 10001</t>
  </si>
  <si>
    <t xml:space="preserve">https://onefairwage.org/dc</t>
  </si>
  <si>
    <t xml:space="preserve">Missed the Nov 2026 ballot. The OFW site says collection is underway for a 2027 special election; Jayaraman said collection would start July 2026. No evidence of paid circulators (sign-up is volunteer shifts). DC non-resident circulators must register with BOE before circulating.</t>
  </si>
  <si>
    <t xml:space="preserve">https://hoodline.com/2026/07/d-c-wage-war-put-on-ice-after-25-ballot-bid-misses-mark/</t>
  </si>
  <si>
    <t xml:space="preserve">https://washingtonian.com/2026/07/17/advocates-of-25-minimum-wage-in-dc-blame-lawsuit-for-ballot-delay/</t>
  </si>
  <si>
    <t xml:space="preserve">https://51st.news/dc-ballot-initiatives-2026-election/</t>
  </si>
  <si>
    <t xml:space="preserve">P031</t>
  </si>
  <si>
    <t xml:space="preserve">Other proposed DC initiatives at BOE hearing stage (DC Equal Homeownership Act; Vermelle Paid Maternity Leave Act; DC Cash Payment Reparations Act; Human Environment 'Block Up Plan')</t>
  </si>
  <si>
    <t xml:space="preserve">Various; only hearing notices and advisory opinions are posted</t>
  </si>
  <si>
    <t xml:space="preserve">Initiative (DC citywide), pre-circulation</t>
  </si>
  <si>
    <t xml:space="preserve">5% of registered voters citywide and in 5 of 8 wards (about 24,000)</t>
  </si>
  <si>
    <t xml:space="preserve">180 days after petition adoption (not yet adopted / unknown)</t>
  </si>
  <si>
    <t xml:space="preserve">DC BOE Voter Services (202) 727-2525, voterservices@dcboe.org</t>
  </si>
  <si>
    <t xml:space="preserve">https://dcboe.org/ballot-measures/current-measures</t>
  </si>
  <si>
    <t xml:space="preserve">These are listed on the BOE Current Measures page with no proposer or circulation dates shown. Approval for circulation is not confirmed. DC Referendum 009 (tipped wage timeline, Oct 2025) and Initiative 84 (Time Stability) also appear there; their current status was not verified.</t>
  </si>
  <si>
    <t xml:space="preserve">https://www.dcboe.org/getmedia/b8938d4f-b7c7-4912-8e9a-6287b1783db1/FINAL-Circulating-and-Filing-Initiative-Ref-Measure-Petitions-12152025.pdf</t>
  </si>
  <si>
    <t xml:space="preserve">P032</t>
  </si>
  <si>
    <t xml:space="preserve">Initiative 88: Rent Control and Housing Eligibility Adjustment Amendment Act of 2026 (rent freeze)</t>
  </si>
  <si>
    <t xml:space="preserve">Two-year rent freeze on multifamily housing, plus extra 12-month freezes when DC-area CPI exceeds 5%</t>
  </si>
  <si>
    <t xml:space="preserve">More Affordable D.C. (committee)</t>
  </si>
  <si>
    <t xml:space="preserve">About 24,000 valid (5% of registered voters citywide, incl. 5% in 5 of 8 wards)</t>
  </si>
  <si>
    <t xml:space="preserve">180 days from final approval once litigation clears; earliest ballot is the expected spring 2027 special election</t>
  </si>
  <si>
    <t xml:space="preserve">https://secure.actblue.com/donate/dcaffordability (committee donation page)</t>
  </si>
  <si>
    <t xml:space="preserve">Litigation blocked collection. A challenge led by the DC Building Industry Association coalition was denied as untimely on Sept 16, 2026; an appeal was filed Sept 18. Whether circulation has started is unknown. Opposition (DCBIA, NAR) is well funded, so a well-funded drive is plausible, but that is not confirmed.</t>
  </si>
  <si>
    <t xml:space="preserve">https://www.ballardspahr.com/insights/alerts-and-articles/2026/07/july-2026-dc-multifamily-update</t>
  </si>
  <si>
    <t xml:space="preserve">https://www.ballardspahr.com/insights/alerts-and-articles/2026/09/sept-23-2026-multifamily-client-alert</t>
  </si>
  <si>
    <t xml:space="preserve">https://www.credaily.com/?p=222981</t>
  </si>
  <si>
    <t xml:space="preserve">https://www.nar.realtor/news/real-estate-news/nar-joins-challenge-to-d-c-rent-freeze-ballot-initiative; https://dcboe.org/ballot-measures/current-measures</t>
  </si>
  <si>
    <t xml:space="preserve">P033</t>
  </si>
  <si>
    <t xml:space="preserve">Initiative 86: Prohibiting the Force-Feeding of Birds (foie gras ban)</t>
  </si>
  <si>
    <t xml:space="preserve">Ban sale of foie gras produced by force-feeding</t>
  </si>
  <si>
    <t xml:space="preserve">Pro-Animal DC (campaign committee)</t>
  </si>
  <si>
    <t xml:space="preserve">23,940 valid</t>
  </si>
  <si>
    <t xml:space="preserve">Qualified Aug 5, 2026; on Nov 3, 2026 ballot</t>
  </si>
  <si>
    <t xml:space="preserve">46,020 submitted; 31,726 valid; 198 circulators over 14 weeks</t>
  </si>
  <si>
    <t xml:space="preserve">Collection is complete. Included as a reference point for what a DC drive takes (198 circulators, 14 weeks, record-setting signature count).</t>
  </si>
  <si>
    <t xml:space="preserve">https://www.popville.com/2026/08/force-fed-foie-gras-prohibition-dc-i86-qualifies-for-nov-ballot/</t>
  </si>
  <si>
    <t xml:space="preserve">P034</t>
  </si>
  <si>
    <t xml:space="preserve">Florida</t>
  </si>
  <si>
    <t xml:space="preserve">Florida Decides Healthcare - Medicaid expansion (2028)</t>
  </si>
  <si>
    <t xml:space="preserve">Constitutional amendment to expand Medicaid to adults 18-64 with incomes at or below 138% of the federal poverty level</t>
  </si>
  <si>
    <t xml:space="preserve">Statewide citizen initiative constitutional amendment</t>
  </si>
  <si>
    <t xml:space="preserve">Florida Decides Healthcare (Executive Director Mitch Emerson)</t>
  </si>
  <si>
    <t xml:space="preserve">unknown for 2028. For the 2026 drive, The Outreach Team posted paid 'Petitioner' jobs (posted April 8, 2025).</t>
  </si>
  <si>
    <t xml:space="preserve">880,062 was the 2026-cycle requirement (8% of voters). The exact 2028 figure is unknown.</t>
  </si>
  <si>
    <t xml:space="preserve">Feb 1, 2028 (standard Florida deadline for the 2028 ballot; not separately confirmed in sources)</t>
  </si>
  <si>
    <t xml:space="preserve">Brevard County: 100 valid in total (7 valid 9/1-9/30/2026) as of 9/30/2026. Monroe County: 125 verified as of 1/30/2026. Statewide 2028 total unknown. The 2026 drive validated 75,855 of 90,250 submitted.</t>
  </si>
  <si>
    <t xml:space="preserve">2026 drive (The Outreach Team, April 2025 posting): $19/hr for circulators, $21-25/hr for leadership, +$1/hr bilingual. The 2028 rate is unknown.</t>
  </si>
  <si>
    <t xml:space="preserve">https://careers.arena.run/companies/the-outreach-team-2/jobs/48573140-petitioner-help-expand-medicaid-in-florida (2025 posting for the 2026 drive; current status unknown)</t>
  </si>
  <si>
    <t xml:space="preserve">Mitch Emerson, Executive Director (per AP/CBS)</t>
  </si>
  <si>
    <t xml:space="preserve">https://floridadecideshealthcare.org</t>
  </si>
  <si>
    <t xml:space="preserve">Relaunched signature collection for 2028 on Feb 1, 2026. The new model is mail-in petitions (prepaid return envelope) requested through the website, plus 100+ grassroots partners; that model points away from paid field circulation. Brevard's monthly valid count is small (7 in September 2026), which points to low field activity. The group says HB 1205 'dramatically increased petition costs.' It was lead plaintiff in Florida Decides Healthcare v. Byrd. On April 30, 2026, Judge Walker upheld the circulator registration requirement, the out-of-state and non-citizen circulator bans, felon restrictions, the $50,000-per-violation fine and the felony for filling in petition information. Ballot Access News reported the plaintiffs did not plan to appeal (BAN's May 1 post said the ruling would be appealed, so these conflict). The Florida DOS initiative database (constitutionalinitiatives.dos.fl.gov) was blocked by Cloudflare and could not be checked directly.</t>
  </si>
  <si>
    <t xml:space="preserve">https://www.beckerspayer.com/payer/medicaid/florida-medicaid-expansion-campaign-sets-sights-on-2028-ballot/</t>
  </si>
  <si>
    <t xml:space="preserve">https://floridaphoenix.com/2026/04/30/federal-judge-upholds-floridas-citizen-initiative-restrictions/</t>
  </si>
  <si>
    <t xml:space="preserve">https://careers.arena.run/companies/the-outreach-team-2/jobs/48573140-petitioner-help-expand-medicaid-in-florida</t>
  </si>
  <si>
    <t xml:space="preserve">https://jobs.arena.run/jobs/field-director-recx-ua8s9k-n6-fw-cq-p; https://www.cbsnews.com/amp/miami/news/campaign-delays-push-to-expand-medicaid-in-florida-until-2028-citing-new-state-law; https://jaxtoday.org/2026/02/02/constitutional-amendments-florida-failed/; https://www.votebrevard.gov/Voter-Data-and-Maps/Statistics-and-Data/Initiative-Petition-Totals; https://www.votemonroeflkeys.gov/Candidates-Petitions/Initiative-Petitions</t>
  </si>
  <si>
    <t xml:space="preserve">P035</t>
  </si>
  <si>
    <t xml:space="preserve">Defending Unborn Life (Initiative 25-06)</t>
  </si>
  <si>
    <t xml:space="preserve">Anti-abortion constitutional amendment (title only; full text not reviewed)</t>
  </si>
  <si>
    <t xml:space="preserve">unknown (state volunteer petition form DSDE155A_999_2506 exists)</t>
  </si>
  <si>
    <t xml:space="preserve">unknown for 2028</t>
  </si>
  <si>
    <t xml:space="preserve">Feb 1, 2028 (standard Florida deadline; not separately confirmed)</t>
  </si>
  <si>
    <t xml:space="preserve">Brevard County: 5 valid as of 9/30/2026. Statewide total unknown.</t>
  </si>
  <si>
    <t xml:space="preserve">Listed as an active initiative on the Brevard SOE totals page (9/30/2026). The volunteer form suggests volunteer collection. The very low count points to no meaningful paid drive.</t>
  </si>
  <si>
    <t xml:space="preserve">https://www.votebrevard.gov/Voter-Data-and-Maps/Statistics-and-Data/Initiative-Petition-Totals</t>
  </si>
  <si>
    <t xml:space="preserve">https://initiativepetitions.dos.fl.gov/InitiativeForms/Volunteer/DSDE155A_999_2506_EN.pdf</t>
  </si>
  <si>
    <t xml:space="preserve">P036</t>
  </si>
  <si>
    <t xml:space="preserve">City of Fort Meade (Polk County)</t>
  </si>
  <si>
    <t xml:space="preserve">Fort Meade recall - Mayor Jaret Williams, Vice Mayor Petrina McCutchen, Commissioner Mathew Taylor</t>
  </si>
  <si>
    <t xml:space="preserve">Recall three city officials after approval of a 4.4-million-sq-ft Stonebridge hyperscale data center</t>
  </si>
  <si>
    <t xml:space="preserve">Municipal recall petition</t>
  </si>
  <si>
    <t xml:space="preserve">Fort Meade recall committee (chair Michael Bennett; Watchdogs of Fort Meade involved)</t>
  </si>
  <si>
    <t xml:space="preserve">unknown (appears volunteer)</t>
  </si>
  <si>
    <t xml:space="preserve">First phase ~10% (about 246 minimum per organizer); second phase 15% of registered voters (~400)</t>
  </si>
  <si>
    <t xml:space="preserve">More than 1,000 first-phase signatures submitted to City Hall (July 17, 2026)</t>
  </si>
  <si>
    <t xml:space="preserve">Michael Bennett (committee chair)</t>
  </si>
  <si>
    <t xml:space="preserve">Appears resident-led; no evidence of paid circulators. Status after the July 2026 SOE verification is unknown. Listed as a local petition opportunity, not a confirmed paid job.</t>
  </si>
  <si>
    <t xml:space="preserve">https://baynews9.com/fl/tampa/news/2026/07/17/fort-meade-recall-committee-submits-petitions-to-remove-city-leaders</t>
  </si>
  <si>
    <t xml:space="preserve">https://mynews13.com/fl/orlando/news/2026/07/17/fort-meade-recall-committee-submits-petitions-to-remove-city-leaders</t>
  </si>
  <si>
    <t xml:space="preserve">https://www.tampabay28.com/news/region-polk/recall-effort-targets-three-fort-meade-city-leaders-after-data-center-approval</t>
  </si>
  <si>
    <t xml:space="preserve">P037</t>
  </si>
  <si>
    <t xml:space="preserve">City of Miami (Miami-Dade County)</t>
  </si>
  <si>
    <t xml:space="preserve">Stronger Miami charter amendment petition</t>
  </si>
  <si>
    <t xml:space="preserve">Change the City of Miami charter: expand the commission from 5 to 9 districts, move city elections to even years starting 2028, and set neighborhood-preserving, non-partisan redistricting rules</t>
  </si>
  <si>
    <t xml:space="preserve">Municipal charter amendment citizen petition</t>
  </si>
  <si>
    <t xml:space="preserve">Stronger Miami Coalition (One Grove Alliance, Florida Rising and other nonprofits)</t>
  </si>
  <si>
    <t xml:space="preserve">About 20,000 certified signatures</t>
  </si>
  <si>
    <t xml:space="preserve">About 20,500 submitted; as of Feb 25, 2026, 13,416 reviewed, 7,203 certified, 6,213 uncertified, ~5,000 under review plus ~1,000 more turned in</t>
  </si>
  <si>
    <t xml:space="preserve">Teresa Guzman Pagan, Florida Rising (quoted director)</t>
  </si>
  <si>
    <t xml:space="preserve">https://floridarising.org (coalition member)</t>
  </si>
  <si>
    <t xml:space="preserve">Latest verified status is Feb 2026. Whether it later qualified or is still collecting is unknown; the search budget ran out before this could be checked. The ~30% invalid rate suggests heavy field collection, but paid circulation is not confirmed.</t>
  </si>
  <si>
    <t xml:space="preserve">https://www.wlrn.org/government-politics/2026-02-26/stronger-miami-petition-ballot-miami</t>
  </si>
  <si>
    <t xml:space="preserve">https://www.wlrn.org/government-politics/2026-02-23/stronger-miami-government-petition-ballot-signatures</t>
  </si>
  <si>
    <t xml:space="preserve">P038</t>
  </si>
  <si>
    <t xml:space="preserve">Floridians for Marijuana (2028 adult-use cannabis initiative)</t>
  </si>
  <si>
    <t xml:space="preserve">Constitutional amendment legalizing adult-use cannabis</t>
  </si>
  <si>
    <t xml:space="preserve">Floridians for Marijuana political committee (chair Zack Whitson, treasurer Gloria Maggiolo)</t>
  </si>
  <si>
    <t xml:space="preserve">unknown for 2028 (8% of votes in the last presidential election; ~880,000 range per reporting)</t>
  </si>
  <si>
    <t xml:space="preserve">Zack Whitson (chair)</t>
  </si>
  <si>
    <t xml:space="preserve">Petition approved by the Division of Elections on Sept 30, 2026. No signature count, funding or circulation firm was found. A registered petition is not the same as active paid circulation.</t>
  </si>
  <si>
    <t xml:space="preserve">https://www.cannabisbusinesstimes.com/us-states/florida/news/15836634/florida-may-have-3-options-to-legalize-adultuse-cannabis-in-2028</t>
  </si>
  <si>
    <t xml:space="preserve">P039</t>
  </si>
  <si>
    <t xml:space="preserve">Let Florida Vote IV (2028 cannabis initiative)</t>
  </si>
  <si>
    <t xml:space="preserve">Political committee chaired by Zack Whitson (treasurer Gloria Maggiolo)</t>
  </si>
  <si>
    <t xml:space="preserve">Pending with the Financial Impact Estimating Conference as of Sept 29, 2026, per Cannabis Business Times. The wording suggests it has already crossed the 25% review threshold, but that is not stated, so treat the count as unknown.</t>
  </si>
  <si>
    <t xml:space="preserve">P040</t>
  </si>
  <si>
    <t xml:space="preserve">Smart &amp; Safe Florida - Adult Personal Use of Marijuana (2028 effort)</t>
  </si>
  <si>
    <t xml:space="preserve">Constitutional amendment legalizing adult personal use of marijuana for the 2026 ballot</t>
  </si>
  <si>
    <t xml:space="preserve">Smart &amp; Safe Florida (backed by Trulieve)</t>
  </si>
  <si>
    <t xml:space="preserve">unknown (the committee cited 474 trained circulators, including out-of-state circulators until May 2, 2025)</t>
  </si>
  <si>
    <t xml:space="preserve">880,062</t>
  </si>
  <si>
    <t xml:space="preserve">Feb 1, 2026 (passed)</t>
  </si>
  <si>
    <t xml:space="preserve">About 1.4 million claimed submitted; 783,592 validated (as of Feb 2, 2026). Failed to qualify.</t>
  </si>
  <si>
    <t xml:space="preserve">Trulieve contributed $67 million</t>
  </si>
  <si>
    <t xml:space="preserve">Paid circulation is confirmed by a headline about a 'paid petitioner working for Florida cannabis campaign' (Ganjapreneur; article body not fetched). HB 1205 impact per the committee's court filing: out-of-state circulators were dropped on May 2, 2025; about 600 Florida-resident circulators stopped because of the 10-day return rule; weekly collection fell about one-third from ~78,000/week; and lawyers estimated $23.7M in potential fines ($50k x 474 circulators). Nearly 71,000 signatures were disqualified, and the AG opened fraud probes. All 22 active initiatives failed to make the 2026 ballot.</t>
  </si>
  <si>
    <t xml:space="preserve">https://www.orlandoweekly.com/cannabis/trulieve-pours-nearly-20m-into-floridas-latest-recreational-marijuana-effort-39293879/</t>
  </si>
  <si>
    <t xml:space="preserve">https://thecapitolist.com/statewide-prosecutors-ask-fdle-to-investigate-petition-circulators-tied-to-marijuana-initiative/</t>
  </si>
  <si>
    <t xml:space="preserve">https://www.clickorlando.com/news/florida/2026/02/02/no-citizen-initiatives-on-2026-florida-ballot-including-marijuana-amendment-state-says/; https://jaxtoday.org/2026/02/02/constitutional-amendments-florida-failed/; https://www.orlandoweekly.com/cannabis/backers-of-floridas-new-recreational-marijuana-initiative-argue-its-unlikely-to-reach-voters-without-help-from-the-courts-39659978; https://ganjapreneur.com/paid-petitioner-working-for-florida-cannabis-campaign-accused-of-submitting-fraudulent-signatures/</t>
  </si>
  <si>
    <t xml:space="preserve">P041</t>
  </si>
  <si>
    <t xml:space="preserve">Right to Clean and Healthy Waters (Initiative 24-03)</t>
  </si>
  <si>
    <t xml:space="preserve">Constitutional amendment on a right to clean water</t>
  </si>
  <si>
    <t xml:space="preserve">880,062 (2026 cycle)</t>
  </si>
  <si>
    <t xml:space="preserve">Monroe County: 633 verified as of 1/30/2026. Statewide unknown.</t>
  </si>
  <si>
    <t xml:space="preserve">All 22 active initiatives failed for 2026. It was not listed on the Brevard 9/30/2026 active totals page, so a 2028 continuation is not confirmed.</t>
  </si>
  <si>
    <t xml:space="preserve">https://www.votemonroeflkeys.gov/Candidates-Petitions/Initiative-Petitions</t>
  </si>
  <si>
    <t xml:space="preserve">https://jaxtoday.org/2026/02/02/constitutional-amendments-florida-failed/</t>
  </si>
  <si>
    <t xml:space="preserve">P042</t>
  </si>
  <si>
    <t xml:space="preserve">Statewide / U.S. House districts</t>
  </si>
  <si>
    <t xml:space="preserve">Minor-party / NPA candidate and party ballot-access petitions – 2026</t>
  </si>
  <si>
    <t xml:space="preserve">Candidate ballot access by petition after the HB 1D redistricting</t>
  </si>
  <si>
    <t xml:space="preserve">Various minor-party candidates</t>
  </si>
  <si>
    <t xml:space="preserve">2,564 per U.S. House district (collectable statewide)</t>
  </si>
  <si>
    <t xml:space="preserve">May 11, 2026 (U.S. House); April 24 for statewide party petitions (passed)</t>
  </si>
  <si>
    <t xml:space="preserve">Seven minor-party U.S. House candidates filed</t>
  </si>
  <si>
    <t xml:space="preserve">Per Ballot Access News, June 2026. Libertarian, Green, Constitution and Forward are already qualified in Florida. The Florida Reform Party was removed for failing to file finance reports. No paid circulation was evidenced.</t>
  </si>
  <si>
    <t xml:space="preserve">P043</t>
  </si>
  <si>
    <t xml:space="preserve">Sebastian (Indian River County)</t>
  </si>
  <si>
    <t xml:space="preserve">Sebastian City Council recall (Gilliams, Parris, Mauti)</t>
  </si>
  <si>
    <t xml:space="preserve">Recall council members</t>
  </si>
  <si>
    <t xml:space="preserve">PAC led by Tracey Cole</t>
  </si>
  <si>
    <t xml:space="preserve">over 7,400 (per sebastiandaily headline)</t>
  </si>
  <si>
    <t xml:space="preserve">Search results showed 2026 dates, but these are the site's header date; the article was published Aug 3, 2020. This is a 2020 recall, not current. Included to prevent mis-use.</t>
  </si>
  <si>
    <t xml:space="preserve">https://www.sebastiandaily.com/community/supervisor-of-elections-receives-petitions-to-recall-damien-gilliams-pamela-parris-charles-mauti-24478/</t>
  </si>
  <si>
    <t xml:space="preserve">P044</t>
  </si>
  <si>
    <t xml:space="preserve">Georgia</t>
  </si>
  <si>
    <t xml:space="preserve">Hall County</t>
  </si>
  <si>
    <t xml:space="preserve">Recall of Hall County Sheriff Gerald Couch</t>
  </si>
  <si>
    <t xml:space="preserve">Recall sheriff</t>
  </si>
  <si>
    <t xml:space="preserve">County recall (Georgia Recall Act)</t>
  </si>
  <si>
    <t xml:space="preserve">Concerned Citizens of Hall County</t>
  </si>
  <si>
    <t xml:space="preserve">42,080 (30% of registered voters)</t>
  </si>
  <si>
    <t xml:space="preserve">September 3 2026</t>
  </si>
  <si>
    <t xml:space="preserve">roughly 2,000-3,000 as of Aug 5 2026</t>
  </si>
  <si>
    <t xml:space="preserve">Deadline passed; final outcome not verified. Far behind pace as of Aug 5.</t>
  </si>
  <si>
    <t xml:space="preserve">https://www.wsbtv.com/news/held-higher-standard-group-gathering-signatures-remove-hall-county-sheriff-office/BEOM4VVZIJC5PJTIKPVZ5HHIMU/</t>
  </si>
  <si>
    <t xml:space="preserve">P045</t>
  </si>
  <si>
    <t xml:space="preserve">Hawaii</t>
  </si>
  <si>
    <t xml:space="preserve">Statewide / counties</t>
  </si>
  <si>
    <t xml:space="preserve">County charter petitions or recalls - none verified</t>
  </si>
  <si>
    <t xml:space="preserve">N/A</t>
  </si>
  <si>
    <t xml:space="preserve">N/A (Hawaii has no statewide citizen initiative process; county charter initiative/recall petitions exist)</t>
  </si>
  <si>
    <t xml:space="preserve">Hawaii has no statewide initiative or referendum, so only county-level petitions are possible. A planned search of county charter/recall petitions (Honolulu, Maui, Hawaii County, Kauai) was not run because the search budget ran out. Nothing verified.</t>
  </si>
  <si>
    <t xml:space="preserve">https://www.civilbeat.org/2026/10/list-hawaiis-2026-charter-and-constitutional-amendments/</t>
  </si>
  <si>
    <t xml:space="preserve">https://news.ballotpedia.org/?p=51538</t>
  </si>
  <si>
    <t xml:space="preserve">P046</t>
  </si>
  <si>
    <t xml:space="preserve">Idaho</t>
  </si>
  <si>
    <t xml:space="preserve">Reproductive Freedom and Privacy Act (end Idaho's abortion ban)</t>
  </si>
  <si>
    <t xml:space="preserve">Restore abortion access via statute</t>
  </si>
  <si>
    <t xml:space="preserve">Idahoans United for Women and Families (Exec. Dir. Melanie Folwell)</t>
  </si>
  <si>
    <t xml:space="preserve">70,725 valid statewide (6%) plus 6% in 18 of 35 legislative districts</t>
  </si>
  <si>
    <t xml:space="preserve">April 30, 2026 (submitted; reported qualified)</t>
  </si>
  <si>
    <t xml:space="preserve">About 104,000-110,000 submitted</t>
  </si>
  <si>
    <t xml:space="preserve">Melanie Folwell</t>
  </si>
  <si>
    <t xml:space="preserve">Whether circulators were paid is not stated in the sources. The drive is completed.</t>
  </si>
  <si>
    <t xml:space="preserve">https://idahocapitalsun.com/2026/04/24/group-seeking-to-end-idahos-abortion-ban-says-its-met-signature-goal-in-19-legislative-districts/</t>
  </si>
  <si>
    <t xml:space="preserve">https://www.eastidahonews.com/?p=849093</t>
  </si>
  <si>
    <t xml:space="preserve">https://newsletters.idahocapitalsun.com/p/initiative-ending-abortion-ban-qualifies-albertsons-trial-begins-cole-reappointed-to-cdh-board</t>
  </si>
  <si>
    <t xml:space="preserve">P047</t>
  </si>
  <si>
    <t xml:space="preserve">Idaho medical cannabis initiative</t>
  </si>
  <si>
    <t xml:space="preserve">Legalize medical cannabis</t>
  </si>
  <si>
    <t xml:space="preserve">Natural Medicine Alliance of Idaho</t>
  </si>
  <si>
    <t xml:space="preserve">Two unnamed paid vendors (the original vendor's work is under scrutiny; a second firm was brought in late)</t>
  </si>
  <si>
    <t xml:space="preserve">70,725 valid plus 6% in 18 of 35 districts</t>
  </si>
  <si>
    <t xml:space="preserve">April 30, 2026; failed to qualify (July 14, 2026)</t>
  </si>
  <si>
    <t xml:space="preserve">Max 58,024 certified; threshold met in only 13 districts</t>
  </si>
  <si>
    <t xml:space="preserve">Paid circulation is confirmed, but the drive failed. The sponsor is weighing legal remedies. A vendor-quality failure like this is a pitch angle for a 2028 retry. Vendor names are unknown.</t>
  </si>
  <si>
    <t xml:space="preserve">https://idahocapitalsun.com/2026/07/14/medical-cannabis-initiative-fails-to-qualify-for-idahos-general-election-ballot/</t>
  </si>
  <si>
    <t xml:space="preserve">https://www.boisestatepublicradio.org/politics-government/2026-07-15/pot-cannabis-weed-election-november-idaho-citizen-initiative</t>
  </si>
  <si>
    <t xml:space="preserve">P048</t>
  </si>
  <si>
    <t xml:space="preserve">Illinois</t>
  </si>
  <si>
    <t xml:space="preserve">Great Lakes</t>
  </si>
  <si>
    <t xml:space="preserve">City of Chicago</t>
  </si>
  <si>
    <t xml:space="preserve">Chicago Feb 23, 2027 municipal election – nominating petitions (mayor, clerk, treasurer, 50 aldermen, police district councils)</t>
  </si>
  <si>
    <t xml:space="preserve">Candidate ballot access</t>
  </si>
  <si>
    <t xml:space="preserve">Candidate nominating petitions</t>
  </si>
  <si>
    <t xml:space="preserve">Individual campaigns (filed so far: Alexi Giannoulias, John Kelly, Willie Wilson, Matt Brewer, Mike Quigley; others expected incl. Brandon Johnson, Susana Mendoza, Maria Pappas)</t>
  </si>
  <si>
    <t xml:space="preserve">12,500 valid for mayor/clerk/treasurer; 473 per ward for alderman</t>
  </si>
  <si>
    <t xml:space="preserve">Filing Oct 19–26, 2026 (5 p.m. Oct 26); objections due Nov 2; ballot certified Dec 17, 2026</t>
  </si>
  <si>
    <t xml:space="preserve">Self-reported: Giannoulias ~60,000; Kelly 36,000+; Wilson ~35,000; Brewer 32,000+</t>
  </si>
  <si>
    <t xml:space="preserve">Individual campaign managers (unknown)</t>
  </si>
  <si>
    <t xml:space="preserve">Chicago Board of Election Commissioners (filing office); campaign contacts unknown</t>
  </si>
  <si>
    <t xml:space="preserve">https://app.chicagoelections.gov</t>
  </si>
  <si>
    <t xml:space="preserve">Collection began July 28, 2026; filing closes Oct 26, two days from now. Collection is basically over, but the petition challenge/objection phase (Nov 2 onward) creates demand for petition review and validation work. No paid circulator evidence found.</t>
  </si>
  <si>
    <t xml:space="preserve">https://chicago.suntimes.com/elections/2026/10/19/mayor-race-candidates-stacks-nominating-petitions-chicago-board-of-elections</t>
  </si>
  <si>
    <t xml:space="preserve">https://www.axios.com/local/chicago/2026/10/19/chicago-mayoral-hopefuls-file-petitions-amid-controversy</t>
  </si>
  <si>
    <t xml:space="preserve">https://news.wttw.com/node/54511</t>
  </si>
  <si>
    <t xml:space="preserve">P049</t>
  </si>
  <si>
    <t xml:space="preserve">Statewide (local units outside Chicago, e.g. St. Clair County calendar)</t>
  </si>
  <si>
    <t xml:space="preserve">April 6, 2027 Consolidated Election – nonpartisan/independent nominating petitions and local referenda petitions</t>
  </si>
  <si>
    <t xml:space="preserve">Ballot access for school, library, park, fire, community college and other nonpartisan offices; local public-policy referenda</t>
  </si>
  <si>
    <t xml:space="preserve">Candidate nominating petitions; local referendum petitions</t>
  </si>
  <si>
    <t xml:space="preserve">Various candidates and local petitioners</t>
  </si>
  <si>
    <t xml:space="preserve">Varies by office and unit (unknown)</t>
  </si>
  <si>
    <t xml:space="preserve">Nominating papers filed Nov 16–23, 2026; petitions to create a political subdivision due Dec 7, 2026; local public-policy referenda petitions due Jan 4, 2027; party caucus certificates Dec 14–21, 2026</t>
  </si>
  <si>
    <t xml:space="preserve">Local election authorities / county clerks (e.g. St. Clair County Clerk)</t>
  </si>
  <si>
    <t xml:space="preserve">https://www.stclaircountyil.gov</t>
  </si>
  <si>
    <t xml:space="preserve">Circulation opened Aug 25, 2026. This is the live Illinois petition window, with referendum petitions due Jan 4, 2027. I found no specific paid local referendum drive. This is a calendar opportunity, not a confirmed paid project.</t>
  </si>
  <si>
    <t xml:space="preserve">https://www.stclaircountyil.gov/webdocuments/departments/countyclerk/2027Resources/2027 Election Calendar FINAL (1).pdf</t>
  </si>
  <si>
    <t xml:space="preserve">P050</t>
  </si>
  <si>
    <t xml:space="preserve">Chicago</t>
  </si>
  <si>
    <t xml:space="preserve">TouchStone LLC – signature gathering canvassers (Oct 2025 posting)</t>
  </si>
  <si>
    <t xml:space="preserve">Signature collection to qualify a major initiative for the ballot, and to support a progressive candidate's ballot access (per posting)</t>
  </si>
  <si>
    <t xml:space="preserve">Paid petition circulation job (initiative and candidate)</t>
  </si>
  <si>
    <t xml:space="preserve">unknown (vendor posting)</t>
  </si>
  <si>
    <t xml:space="preserve">TouchStone, LLC</t>
  </si>
  <si>
    <t xml:space="preserve">Job ran Oct 15–26, 2025</t>
  </si>
  <si>
    <t xml:space="preserve">$25–$30/hour, paid weekly</t>
  </si>
  <si>
    <t xml:space="preserve">https://careers.arena.run/companies/job-post-2/jobs/60314310-touchstone-llc-signature-gathering-canvassers-needed-25-30-hour-chicago-il</t>
  </si>
  <si>
    <t xml:space="preserve">unknown (email partly obscured on the posting)</t>
  </si>
  <si>
    <t xml:space="preserve">Posted Oct 11, 2025. Confirmed paid but expired. Useful as an Illinois hourly pay benchmark and as an Illinois vendor name.</t>
  </si>
  <si>
    <t xml:space="preserve">P051</t>
  </si>
  <si>
    <t xml:space="preserve">Indiana</t>
  </si>
  <si>
    <t xml:space="preserve">Greg Ballard independent Secretary of State petition / Lincoln Party ballot access</t>
  </si>
  <si>
    <t xml:space="preserve">Ballot access for an independent statewide candidate; a 2% vote share would give the Lincoln Party 4-year ballot access</t>
  </si>
  <si>
    <t xml:space="preserve">Independent candidate ballot access petition</t>
  </si>
  <si>
    <t xml:space="preserve">Ballard campaign; Lincoln Party (chair Nathan Gotsch); Independent Indiana nonprofit</t>
  </si>
  <si>
    <t xml:space="preserve">~37,000 (2% of the last SOS vote)</t>
  </si>
  <si>
    <t xml:space="preserve">Delivered July 14, 2026 (official deadline unknown)</t>
  </si>
  <si>
    <t xml:space="preserve">52,000+ (campaign claim); Ballard is on the Nov 2026 ballot</t>
  </si>
  <si>
    <t xml:space="preserve">Greg Ballard; Nathan Gotsch (Lincoln Party chair)</t>
  </si>
  <si>
    <t xml:space="preserve">Coverage mentions volunteers and signature gatherers, with no paid vendor named. State Police investigated one volunteer's fraudulent page. If the Lincoln Party wins 2%+ on Nov 3, future candidates skip petitions; if not, it is a possible petition client for 2028.</t>
  </si>
  <si>
    <t xml:space="preserve">https://indianacapitalchronicle.com/briefs/independent-secretary-of-state-hopeful-says-he-has-the-signatures/</t>
  </si>
  <si>
    <t xml:space="preserve">https://www.newsfromthestates.com/node/426505</t>
  </si>
  <si>
    <t xml:space="preserve">P052</t>
  </si>
  <si>
    <t xml:space="preserve">Iowa</t>
  </si>
  <si>
    <t xml:space="preserve">Statewide / local</t>
  </si>
  <si>
    <t xml:space="preserve">Local referendum/recall/charter petitions</t>
  </si>
  <si>
    <t xml:space="preserve">Iowa has no statewide citizen initiative. Local, recall and ballot-access petitions were NOT searched because the shared web-search budget ran out before Iowa was reached. This is a research gap, not a confirmed absence.</t>
  </si>
  <si>
    <t xml:space="preserve">https://www.minneapolismn.gov/government/boards-and-commissions/charter-commission/amending-the-charter/</t>
  </si>
  <si>
    <t xml:space="preserve">https://www.kwit.org/podcast/spm-news/2026-02-16/spencer-iowa-residents-force-special-election-for-city-council-post</t>
  </si>
  <si>
    <t xml:space="preserve">P053</t>
  </si>
  <si>
    <t xml:space="preserve">Kansas</t>
  </si>
  <si>
    <t xml:space="preserve">Central</t>
  </si>
  <si>
    <t xml:space="preserve">Ottawa (Franklin County)</t>
  </si>
  <si>
    <t xml:space="preserve">Ottawa data center ban initiative ordinance</t>
  </si>
  <si>
    <t xml:space="preserve">Ban data centers using more than 25 MW within Ottawa city limits</t>
  </si>
  <si>
    <t xml:space="preserve">Municipal initiative ordinance</t>
  </si>
  <si>
    <t xml:space="preserve">Citizen petition led by Jessica Christopher ('We the People Ottawa' per KSHB headline)</t>
  </si>
  <si>
    <t xml:space="preserve">658</t>
  </si>
  <si>
    <t xml:space="preserve">Verified Aug 7, 2026. Commission had 20 days to adopt, otherwise it goes to the voters. Lightfield entitlement period ends Oct 30, 2026</t>
  </si>
  <si>
    <t xml:space="preserve">1,031 signed (claimed)</t>
  </si>
  <si>
    <t xml:space="preserve">Jessica Christopher</t>
  </si>
  <si>
    <t xml:space="preserve">Signature phase complete. A similar Emporia, KS petition (about 1,400 signatures against the Digital Campus, July 2026) was also found, but its article could not be fetched.</t>
  </si>
  <si>
    <t xml:space="preserve">https://www.kshb.com/news/local-news/data-centers/ottawa-commissioners-face-deadline-after-data-center-petition-gains-enough-signatures</t>
  </si>
  <si>
    <t xml:space="preserve">https://www.kshb.com/news/local-news/data-centers/we-the-people-ottawa-ballot-petition-seeks-ordinance-to-ban-future-data-center-developments</t>
  </si>
  <si>
    <t xml:space="preserve">P054</t>
  </si>
  <si>
    <t xml:space="preserve">Kentucky</t>
  </si>
  <si>
    <t xml:space="preserve">Ballot access (Kentucky has no statewide citizen initiative)</t>
  </si>
  <si>
    <t xml:space="preserve">Independent 5,000; party: no procedure</t>
  </si>
  <si>
    <t xml:space="preserve">Aug 11, 2026 (passed)</t>
  </si>
  <si>
    <t xml:space="preserve">Checked Ballot Access News June 2026 only. Kentucky has a 2027 statewide election (governor), so independent petitions for 2027 are plausible, but none was verified. Job boards were not searched because the search budget ran out.</t>
  </si>
  <si>
    <t xml:space="preserve">P055</t>
  </si>
  <si>
    <t xml:space="preserve">Louisiana</t>
  </si>
  <si>
    <t xml:space="preserve">Recall of Gov. Jeff Landry (and AG Liz Murrill)</t>
  </si>
  <si>
    <t xml:space="preserve">Recall governor (attorney general recall also referenced in KNOE coverage)</t>
  </si>
  <si>
    <t xml:space="preserve">Statewide recall</t>
  </si>
  <si>
    <t xml:space="preserve">Recall committee; Certified Recall Petitioner Veda Emerson (others unnamed); filed by Baton Rouge residents</t>
  </si>
  <si>
    <t xml:space="preserve">500,884</t>
  </si>
  <si>
    <t xml:space="preserve">October 31 2026 (180 days from May 4 2026)</t>
  </si>
  <si>
    <t xml:space="preserve">Veda Emerson (certified recall petitioner)</t>
  </si>
  <si>
    <t xml:space="preserve">Petition began May 4 2026; deadline 7 days away. Appears volunteer-driven (fixed signing sites); no paid circulator evidence. Signature count not reported.</t>
  </si>
  <si>
    <t xml:space="preserve">https://www.ksla.com/2026/05/11/supporters-gather-government-plaza-recall-petition-targets-gov-jeff-landry/</t>
  </si>
  <si>
    <t xml:space="preserve">https://www.knoe.com/2026/06/10/gov-jeff-landry-attorney-general-liz-murrill-recall-comes-nela/</t>
  </si>
  <si>
    <t xml:space="preserve">P056</t>
  </si>
  <si>
    <t xml:space="preserve">Maine</t>
  </si>
  <si>
    <t xml:space="preserve">An Act to Amend the Cannabis Legalization Act and the Maine Medical Use of Cannabis Act</t>
  </si>
  <si>
    <t xml:space="preserve">Roll back or restrict Maine's adult-use and medical cannabis laws (described as an anti-cannabis/prohibitionist effort)</t>
  </si>
  <si>
    <t xml:space="preserve">Direct initiative (indirect via Legislature)</t>
  </si>
  <si>
    <t xml:space="preserve">unknown (Secretary of State's 'Proponent Information' page not fetched)</t>
  </si>
  <si>
    <t xml:space="preserve">unknown. Out-of-state paid circulators were reported</t>
  </si>
  <si>
    <t xml:space="preserve">67,682 valid</t>
  </si>
  <si>
    <t xml:space="preserve">June 8, 2027 filing deadline (for a 2027 election); Feb 2, 2026 was the 2026 cutoff</t>
  </si>
  <si>
    <t xml:space="preserve">$1 per signature (one circulator, in a recording reported Jan 2026)</t>
  </si>
  <si>
    <t xml:space="preserve">Maine Division of Elections 207-624-7650 (state office, for proponent records)</t>
  </si>
  <si>
    <t xml:space="preserve">https://www.maine.gov/sos/elections-voting/peoples-veto-or-citizens-initiative-resources/current-citizen-initiatives-and-peoples-vetoes</t>
  </si>
  <si>
    <t xml:space="preserve">Approved for circulation Dec 8, 2025. In Jan 2026, Secretary Bellows testified that circulators were 'people for hire' shipped in from out of state. A Texas circulator said he was paid $1 per signature. The SOS page still lists it as current, with a June 8, 2027 deadline. Not verified whether signatures were filed for 2026 or whether paid collection continues in Oct 2026.</t>
  </si>
  <si>
    <t xml:space="preserve">https://www.cannabisbusinesstimes.com/us-states/maine/news/15814590/maine-anticannabis-signature-gatherers-allowed-to-lie-about-petition</t>
  </si>
  <si>
    <t xml:space="preserve">P057</t>
  </si>
  <si>
    <t xml:space="preserve">Resolve directing development of a publicly funded health care system for all Maine residents</t>
  </si>
  <si>
    <t xml:space="preserve">Direct the Legislature to develop universal publicly funded health care</t>
  </si>
  <si>
    <t xml:space="preserve">Direct initiative (resolve), targeting the 2027 ballot</t>
  </si>
  <si>
    <t xml:space="preserve">Maine AllCare / HealthCare for All Maine (501(c)(4) arm)</t>
  </si>
  <si>
    <t xml:space="preserve">unknown (appears volunteer-driven; commenters describe themselves as canvassers)</t>
  </si>
  <si>
    <t xml:space="preserve">April 24, 2027 filing deadline</t>
  </si>
  <si>
    <t xml:space="preserve">Maine AllCare, PO Box 190, Manchester, ME 04351; info@maineallcare.org</t>
  </si>
  <si>
    <t xml:space="preserve">https://maineallcare.org/ ; https://healthcareforallmaine.org</t>
  </si>
  <si>
    <t xml:space="preserve">Approved for circulation Oct 24, 2025. A July 2, 2026 post describes an active campaign for the 2027 ballot. No evidence of paid circulators. Possible prospect for professional field help as the deadline approaches.</t>
  </si>
  <si>
    <t xml:space="preserve">https://maineallcare.org/?p=158116</t>
  </si>
  <si>
    <t xml:space="preserve">P058</t>
  </si>
  <si>
    <t xml:space="preserve">An Act to Designate School Sports Participation and Facilities by Sex ('Protect Girls Sports in Maine')</t>
  </si>
  <si>
    <t xml:space="preserve">Limit school sports participation, and bathroom and locker room use, to sex at birth</t>
  </si>
  <si>
    <t xml:space="preserve">Direct initiative</t>
  </si>
  <si>
    <t xml:space="preserve">unknown (SOS page references a petition organization registration mentioning 'Morning in American II'; not confirmed as the applicant)</t>
  </si>
  <si>
    <t xml:space="preserve">unknown. Out-of-state circulators were a prominent factor in the signature review</t>
  </si>
  <si>
    <t xml:space="preserve">Petitions submitted; filing deadline listed as May 3, 2027</t>
  </si>
  <si>
    <t xml:space="preserve">unknown (SOS first validated in March 2026, then found too few valid signatures after a legal challenge)</t>
  </si>
  <si>
    <t xml:space="preserve">Signatures were submitted, and the review was in the courts as of May 2026. Collection appears finished. Because the issue date was Nov 3, 2025 and the window runs to May 3, 2027, a supplemental drive is possible but not verified.</t>
  </si>
  <si>
    <t xml:space="preserve">https://www.pressherald.com/?p=7653907</t>
  </si>
  <si>
    <t xml:space="preserve">P059</t>
  </si>
  <si>
    <t xml:space="preserve">Maryland</t>
  </si>
  <si>
    <t xml:space="preserve">Montgomery County</t>
  </si>
  <si>
    <t xml:space="preserve">County spending cap charter amendment (Committee to Control MoCo Spending) — 2028 retry</t>
  </si>
  <si>
    <t xml:space="preserve">Charter amendment requiring unanimous Council vote for budget increases above inflation</t>
  </si>
  <si>
    <t xml:space="preserve">County charter amendment petition</t>
  </si>
  <si>
    <t xml:space="preserve">Committee to Control MoCo Spending (Montgomery County GOP committee)</t>
  </si>
  <si>
    <t xml:space="preserve">10,000 valid</t>
  </si>
  <si>
    <t xml:space="preserve">unknown (2028 election target)</t>
  </si>
  <si>
    <t xml:space="preserve">2026 attempt: &gt;14,000 submitted, 302 short of valid; failed Aug 17, 2026</t>
  </si>
  <si>
    <t xml:space="preserve">The committee said: 'We are planning on a new ballot petition in support of the same charter amendment for the 2028 election.' It also filed for judicial review of the 2026 count. It fell short by only 302 signatures, which makes it a strong prospect for a professional validation/QC pitch.</t>
  </si>
  <si>
    <t xml:space="preserve">https://www.mymcmedia.org/?p=194914</t>
  </si>
  <si>
    <t xml:space="preserve">https://montgomeryperspective.com/wp-content/uploads/2026/08/Committee-Control-MoCo-Spending-v-Montgo-BOE-PETITION-for-Judicial-Review-1-DOCKETED.pdf</t>
  </si>
  <si>
    <t xml:space="preserve">P060</t>
  </si>
  <si>
    <t xml:space="preserve">City of Salisbury (Wicomico County)</t>
  </si>
  <si>
    <t xml:space="preserve">Salisbury collective bargaining ordinance repeal referendum (AFSCME)</t>
  </si>
  <si>
    <t xml:space="preserve">Put the City Council's May 2026 repeal of the union/collective-bargaining ordinance to voters</t>
  </si>
  <si>
    <t xml:space="preserve">Municipal referendum petition</t>
  </si>
  <si>
    <t xml:space="preserve">AFSCME Maryland (AFSCME Maryland Petitioning Project); Shore Progress also involved</t>
  </si>
  <si>
    <t xml:space="preserve">The Outreach Team (job ad for the AFSCME Maryland Petitioning Project, Salisbury)</t>
  </si>
  <si>
    <t xml:space="preserve">About 4,036 (5,818 valid was 1,782 over the requirement)</t>
  </si>
  <si>
    <t xml:space="preserve">Petition drive done (37 days); Council placed it on the ballot Aug 10, 2026; vote Nov 2, 2027</t>
  </si>
  <si>
    <t xml:space="preserve">5,818 valid</t>
  </si>
  <si>
    <t xml:space="preserve">$23/hr circulator; $25/hr team lead; $50-$150/day bonuses</t>
  </si>
  <si>
    <t xml:space="preserve">https://www.theoutreachteam.net/interest-form-tot (June 2026 posting, positions ran through June 19, possible extension)</t>
  </si>
  <si>
    <t xml:space="preserve">AFSCME Maryland</t>
  </si>
  <si>
    <t xml:space="preserve">https://afscmemd.org/press-room/statement-validation-petition-signatures-wicomico-county-board</t>
  </si>
  <si>
    <t xml:space="preserve">https://afscmemd.org</t>
  </si>
  <si>
    <t xml:space="preserve">Confirmed paid (job ad posted June 4, 2026), but collection is finished. The job-ad text also mentions 'campaign finance reform', which looks inconsistent. Election campaign work possible ahead of Nov 2, 2027.</t>
  </si>
  <si>
    <t xml:space="preserve">https://www.wmdt.com/?p=4615385</t>
  </si>
  <si>
    <t xml:space="preserve">https://www.monmouth.edu/career-development/wp-json/wp/v2/ch_job/20163</t>
  </si>
  <si>
    <t xml:space="preserve">P061</t>
  </si>
  <si>
    <t xml:space="preserve">Frederick County</t>
  </si>
  <si>
    <t xml:space="preserve">Frederick County data center zoning referendum</t>
  </si>
  <si>
    <t xml:space="preserve">Referendum on county data center overlay zoning</t>
  </si>
  <si>
    <t xml:space="preserve">County referendum petition</t>
  </si>
  <si>
    <t xml:space="preserve">Frederick County Data Center Referendum Committee (DCRC); circulators paid through Envision Frederick County using a $10,000 Chesapeake Climate Action Network grant</t>
  </si>
  <si>
    <t xml:space="preserve">None named (paid via Envision Frederick County)</t>
  </si>
  <si>
    <t xml:space="preserve">About 7% of county voters</t>
  </si>
  <si>
    <t xml:space="preserve">Struck by Maryland Supreme Court June 30, 2026</t>
  </si>
  <si>
    <t xml:space="preserve">About 21,000-22,169</t>
  </si>
  <si>
    <t xml:space="preserve">$10,000 grant (CCAN) for circulators</t>
  </si>
  <si>
    <t xml:space="preserve">Elizabeth Bauer (DCRC board member)</t>
  </si>
  <si>
    <t xml:space="preserve">Petition ruled ineligible because the color maps were printed in black and white. WYPR says other counties have asked the DCRC for advice on their own data-center referendums, which signals possible future MD county demand for professional petition compliance.</t>
  </si>
  <si>
    <t xml:space="preserve">https://www.wypr.org/wypr-news/2026-07-23/how-frederick-countys-first-citizen-led-referendum-failed-in-court</t>
  </si>
  <si>
    <t xml:space="preserve">https://hoodline.com/2026/06/frederick-data-center-brawl-crashes-into-maryland-s-high-court/</t>
  </si>
  <si>
    <t xml:space="preserve">P062</t>
  </si>
  <si>
    <t xml:space="preserve">Massachusetts</t>
  </si>
  <si>
    <t xml:space="preserve">SignatureDrive.com 'speculative' 2028 petitions (incl. 26-06 legislative employee bargaining and 26-12 end gas tax)</t>
  </si>
  <si>
    <t xml:space="preserve">Harold Hubschman filed about 10 questions for 2028 (examples: let legislative staffers unionize; eliminate the gas tax) to pitch to potential backers</t>
  </si>
  <si>
    <t xml:space="preserve">Indirect initiative statutes (2028 statewide ballot)</t>
  </si>
  <si>
    <t xml:space="preserve">No backer identified. Boston Globe (Sept 22, 2026): Hubschman 'hasn't actually gotten anyone to pick up the proposals'</t>
  </si>
  <si>
    <t xml:space="preserve">SignatureDrive.com (Harold Hubschman) is the filer and would be the firm</t>
  </si>
  <si>
    <t xml:space="preserve">74,574 each</t>
  </si>
  <si>
    <t xml:space="preserve">Nov 18, 2026 to local clerks; Dec 2, 2026 to Secretary of State</t>
  </si>
  <si>
    <t xml:space="preserve">No 2028 spend reported. For 2026-cycle context, SignatureDrive.com took in at least $4.6M since the start of 2025 (incl. &gt;$1M from CPCS union committee; &gt;$1.4M from Legalize Starter Homes, paid to the firm or others)</t>
  </si>
  <si>
    <t xml:space="preserve">Harold Hubschman, SignatureDrive.com</t>
  </si>
  <si>
    <t xml:space="preserve">https://signaturedrive.com (named in Boston Globe; site not checked)</t>
  </si>
  <si>
    <t xml:space="preserve">The Globe names only 2 of the 10 topics; which certified numbers are Hubschman's beyond 26-06 and 26-12 is unverified. With no paying client as of Sept 22, 2026, these may not circulate at scale.</t>
  </si>
  <si>
    <t xml:space="preserve">https://www.bostonglobe.com/2026/09/22/newsletters/harold-hubschman-ballot-questions-signatures-the-scrum/</t>
  </si>
  <si>
    <t xml:space="preserve">https://foleyhoag.com/news-and-insights/blogs/state-ag-insights/2026/september/initial-massachusetts-2028-ballot-questions-target-taxes-technology-and-energy/</t>
  </si>
  <si>
    <t xml:space="preserve">P063</t>
  </si>
  <si>
    <t xml:space="preserve">Initiative Petition 26-02: income tax rate 5% to 4% by tax year 2031 (2028 ballot)</t>
  </si>
  <si>
    <t xml:space="preserve">Cut personal income tax rate from 5.00% to 4.00% over three years (4.67% 2029, 4.33% 2030, 4.00% from 2031)</t>
  </si>
  <si>
    <t xml:space="preserve">Indirect initiated state statute (2028 ballot)</t>
  </si>
  <si>
    <t xml:space="preserve">Brian Shortsleeve (listed proponent on AG filing). The 2026 version was backed by Taxpayers for an Affordable Massachusetts (spokesperson Chris Keohan), which hinted at a 2028 retry; whether that committee is running 26-02 is unknown</t>
  </si>
  <si>
    <t xml:space="preserve">74,574 (first round); additional round if Legislature does not act (2026-cycle figure was 12,429; 2028 figure unknown)</t>
  </si>
  <si>
    <t xml:space="preserve">Nov 18, 2026 to local election officials; Dec 2, 2026 to Secretary of the Commonwealth</t>
  </si>
  <si>
    <t xml:space="preserve">unknown. Shortsleeve paid Hubschman's SignatureDrive tens of thousands of dollars as a 2026 candidate (Boston Globe)</t>
  </si>
  <si>
    <t xml:space="preserve">Brian Shortsleeve (proponent)</t>
  </si>
  <si>
    <t xml:space="preserve">The AG certified it (Foley Hoag, Sept 2026). The 2026 version of this tax cut collected signatures but the SJC removed it from the ballot in June 2026, and Shortsleeve vowed to restart the effort. No source found showing that 2028 collection is underway or that a firm has been hired. Hubschman also filed a near-identical version (26-13), which was not certified. This is the most likely well-funded 2028 drive.</t>
  </si>
  <si>
    <t xml:space="preserve">https://www.mass.gov/info-details/ballot-initiatives-submitted-for-the-2028-biennial-statewide-election-proposed-laws-and-2030-biennial-statewide-election-proposed-constitutional-amendments</t>
  </si>
  <si>
    <t xml:space="preserve">https://www.wbur.org/news/2026/06/19/mass-income-tax-ballot-question-world-cup</t>
  </si>
  <si>
    <t xml:space="preserve">P064</t>
  </si>
  <si>
    <t xml:space="preserve">Initiative Petition 26-08: data center regulation (2028 ballot)</t>
  </si>
  <si>
    <t xml:space="preserve">Require local voter approval and other conditions (electricity supply contracts, financial guarantees) for data center permits</t>
  </si>
  <si>
    <t xml:space="preserve">Jim Fleming, West Springfield (individual activist)</t>
  </si>
  <si>
    <t xml:space="preserve">unknown. Boston.com reports Fleming is tied to JEF Associates, which provides certified signatures and ballot-initiative services; not confirmed as the vendor for this drive</t>
  </si>
  <si>
    <t xml:space="preserve">74,574 (first round); about 12,500 more if the Legislature does not act</t>
  </si>
  <si>
    <t xml:space="preserve">unknown; no funding source identified</t>
  </si>
  <si>
    <t xml:space="preserve">Jim Fleming</t>
  </si>
  <si>
    <t xml:space="preserve">Certified per Foley Hoag. Ballotpedia calls it the nation's second statewide data-center measure. There is no evidence of funding or paid circulation. Possible prospect: environmental or anti-data-center groups would be natural funders.</t>
  </si>
  <si>
    <t xml:space="preserve">https://www.boston.com/news/local-news/2026/08/26/a-new-ballot-initiative-takes-aim-at-massachusetts-data-centers/</t>
  </si>
  <si>
    <t xml:space="preserve">https://news.ballotpedia.org/2026/08/13/massachusetts-initiative-would-require-local-voter-approval-and-other-conditions-for-data-center-permits-the-second-statewide-proposal-following-ohio/</t>
  </si>
  <si>
    <t xml:space="preserve">P065</t>
  </si>
  <si>
    <t xml:space="preserve">Other AG-certified 2028 petitions: 26-01, 26-05, 26-09, 26-10, 26-11, 26-14, 26-15, 26-16, 26-17, 26-18</t>
  </si>
  <si>
    <t xml:space="preserve">10 certified proposed laws: collective bargaining for state employees (26-05) and legislative employees (26-06); 1% internet ad tax for social-media safety (26-09); clean-energy tax credit (26-10); eliminate legislative stipends (26-11); end state gas tax (26-12); 2.5% per-parcel property tax cap, versions A and B (26-14, 26-15); larceny over $250 a felony (26-16); sales tax cut from 6.25% to 5% (26-17)</t>
  </si>
  <si>
    <t xml:space="preserve">Indirect initiated state statutes (2028 ballot)</t>
  </si>
  <si>
    <t xml:space="preserve">Harold Hubschman (filer). As of Sept 22, 2026, the Boston Globe reported that no group had taken up any of these proposals</t>
  </si>
  <si>
    <t xml:space="preserve">SignatureDrive.com (Hubschman's firm) would be the natural vendor, but it is not confirmed collecting on these</t>
  </si>
  <si>
    <t xml:space="preserve">74,574 each (first round)</t>
  </si>
  <si>
    <t xml:space="preserve">No 2028 spend found. SignatureDrive.com has taken in at least $4.6M since the start of 2025 from ballot committees and candidates (Boston Globe)</t>
  </si>
  <si>
    <t xml:space="preserve">Harold Hubschman, SignatureDrive.com (Brookline, MA)</t>
  </si>
  <si>
    <t xml:space="preserve">unknown (signaturedrive.com could not be fetched)</t>
  </si>
  <si>
    <t xml:space="preserve">https://www.signaturedrive.com/ (named in the Boston Globe; not fetched)</t>
  </si>
  <si>
    <t xml:space="preserve">A signature-firm owner filed these as products he can pitch to funders. 26-07 and 26-13 were filed but not certified. Any of the 10 could become a paid drive if a funder buys in before Nov 18. These are prime prospects for a petition-management pitch: the measures are certified but have no client yet.</t>
  </si>
  <si>
    <t xml:space="preserve">P066</t>
  </si>
  <si>
    <t xml:space="preserve">Initiatives 26-01 (non-ionizing radiation office) and 26-18 (lifetime license-revocation hardship waiver) (2028)</t>
  </si>
  <si>
    <t xml:space="preserve">26-01: create an Office of Research and Technology Optimization, a public radiation map and fee-based testing. 26-18: hardship license pathway for drivers with lifetime license revocations</t>
  </si>
  <si>
    <t xml:space="preserve">26-01: Kirstin Beatty; 26-18: Dale Cluff (listed proponents)</t>
  </si>
  <si>
    <t xml:space="preserve">Kirstin Beatty; Dale Cluff</t>
  </si>
  <si>
    <t xml:space="preserve">Both were filed by individuals and certified. No evidence of funding, a committee or paid circulators. Probably volunteer-only or dormant (inference). Low-probability prospects.</t>
  </si>
  <si>
    <t xml:space="preserve">P067</t>
  </si>
  <si>
    <t xml:space="preserve">Labor Unions for Public Counsel Workers Rights – 2026 initiative</t>
  </si>
  <si>
    <t xml:space="preserve">Collective bargaining for public counsel (public defender) workers (inferred from committee name)</t>
  </si>
  <si>
    <t xml:space="preserve">Indirect initiated state statute (2026 cycle)</t>
  </si>
  <si>
    <t xml:space="preserve">Labor Unions for Public Counsel Workers Rights</t>
  </si>
  <si>
    <t xml:space="preserve">74,574 + 12,429</t>
  </si>
  <si>
    <t xml:space="preserve">Completed</t>
  </si>
  <si>
    <t xml:space="preserve">More than $1M paid for signature gathering (Boston Globe)</t>
  </si>
  <si>
    <t xml:space="preserve">Spend figure comes from the Boston Globe's Sept 22, 2026 Scrum newsletter. Ballot outcome and firm not verified here.</t>
  </si>
  <si>
    <t xml:space="preserve">P068</t>
  </si>
  <si>
    <t xml:space="preserve">Vote Yes for Water and Nature – 2026 initiative</t>
  </si>
  <si>
    <t xml:space="preserve">Water and nature conservation measure (details not verified)</t>
  </si>
  <si>
    <t xml:space="preserve">Indirect initiated state statute (2026 ballot)</t>
  </si>
  <si>
    <t xml:space="preserve">Vote Yes for Water and Nature committee</t>
  </si>
  <si>
    <t xml:space="preserve">SignatureDrive.com (Harold Hubschman) plus one other firm (unnamed)</t>
  </si>
  <si>
    <t xml:space="preserve">Nearly $970,000 paid to SignatureDrive and another firm (Boston Globe)</t>
  </si>
  <si>
    <t xml:space="preserve">Confirmed paid firm engagement for the 2026 cycle; collection is finished.</t>
  </si>
  <si>
    <t xml:space="preserve">P069</t>
  </si>
  <si>
    <t xml:space="preserve">Legalize Starter Homes – 2026 Question 7 (zoning reform)</t>
  </si>
  <si>
    <t xml:space="preserve">Zoning reform to allow starter homes</t>
  </si>
  <si>
    <t xml:space="preserve">Legalize Starter Homes committee</t>
  </si>
  <si>
    <t xml:space="preserve">unknown (professional signature gathering confirmed; firm not named in the sources fetched)</t>
  </si>
  <si>
    <t xml:space="preserve">Completed (Dec 3, 2025 and July 1, 2026)</t>
  </si>
  <si>
    <t xml:space="preserve">More than $1.4M paid for signature gathering (Boston Globe, Sept 2026); about $1.3M professional signature gathering cited by State House News Service (Feb 2026)</t>
  </si>
  <si>
    <t xml:space="preserve">The drive is finished and the measure is on the Nov 3, 2026 ballot as Question 7. It is the largest documented MA paid signature spend this cycle and a benchmark for pricing a 2028 statewide drive at roughly $1.3M to $1.4M.</t>
  </si>
  <si>
    <t xml:space="preserve">https://bankerandtradesman.com/rent-control-foes-say-grassroots-claims-about-ballot-question-were-misleading</t>
  </si>
  <si>
    <t xml:space="preserve">P070</t>
  </si>
  <si>
    <t xml:space="preserve">Referendum to repeal/suspend 2026 abortion law (Compassionate Care Coalition)</t>
  </si>
  <si>
    <t xml:space="preserve">Repeal (and suspend until the vote) the abortion law Gov. Healey signed Aug 10, 2026, which removes restrictions on abortions after 24 weeks</t>
  </si>
  <si>
    <t xml:space="preserve">Veto referendum (2028 ballot)</t>
  </si>
  <si>
    <t xml:space="preserve">Compassionate Care Coalition: Massachusetts Citizens for Life (president Myrna Maloney Flynn) and Massachusetts Family Action (Sam Miele, coalition chair)</t>
  </si>
  <si>
    <t xml:space="preserve">37,289 to place on the 2028 ballot; 49,719 to suspend the law until the vote</t>
  </si>
  <si>
    <t xml:space="preserve">Oct 23, 2026 to local election officials (passed); Nov 6, 2026 to Secretary of the Commonwealth</t>
  </si>
  <si>
    <t xml:space="preserve">Sam Miele (coalition chair, Massachusetts Family Action); Myrna Maloney Flynn (MCFL)</t>
  </si>
  <si>
    <t xml:space="preserve">unknown (no coalition website listed; parent orgs Massachusetts Citizens for Life and Massachusetts Family Action/Massachusetts Family Institute have their own sites)</t>
  </si>
  <si>
    <t xml:space="preserve">https://masscitizensforlife.org ; https://mafamilyaction.org (sponsor orgs)</t>
  </si>
  <si>
    <t xml:space="preserve">Filed Sept 1, 2026. The fall circulation window to local clerks closed Oct 23, 2026, the day before this check, so it is marked completed for collection. The result (count submitted, whether it suspends the law, any emergency preamble from Healey) is unknown. No source states whether circulators were paid or volunteer. Next action: the Nov 6 filing with the Secretary of the Commonwealth.</t>
  </si>
  <si>
    <t xml:space="preserve">https://www.wbur.org/news/2026/09/04/massachusetts-abortion-law-2028-refendum</t>
  </si>
  <si>
    <t xml:space="preserve">https://wbsm.com/massachusetts-abortion-law-repeal-2028/</t>
  </si>
  <si>
    <t xml:space="preserve">https://www.liveaction.org/news/massachusetts-group-seeks-overturn-abortion-law</t>
  </si>
  <si>
    <t xml:space="preserve">https://commonwealthbeacon.org/health-care/opponents-of-new-abortion-law-eye-2028-repeal-effort/; https://www.statehousenews.com/news/healthcare/healey-noncommittal-on-shielding-new-law-for-abortions-later-in-pregnancy/article_ca18c182-6bc3-4841-98be-d544b5659827.html</t>
  </si>
  <si>
    <t xml:space="preserve">P071</t>
  </si>
  <si>
    <t xml:space="preserve">MA circulator job ads (The Outreach Team for Coalition for Healthy Democracy / Protect Democracy)</t>
  </si>
  <si>
    <t xml:space="preserve">Hourly-paid petition circulator crews for Massachusetts initiatives (2024–2026 cycles)</t>
  </si>
  <si>
    <t xml:space="preserve">Initiative signature gathering (vendor hiring)</t>
  </si>
  <si>
    <t xml:space="preserve">Coalition for Healthy Democracy (per job ads)</t>
  </si>
  <si>
    <t xml:space="preserve">The Outreach Team; Movement Builders</t>
  </si>
  <si>
    <t xml:space="preserve">Aug 26, 2025 Movement Builders ad (Amherst): $20/hr circulator, $22/hr team lead, plus bonuses and overtime. The Outreach Team (Boston): $21/hr circulator, $23/hr team lead, daily bonuses up to $170 (posting closed). Earlier ads: $19–21/hr, bonuses of $50–200/day</t>
  </si>
  <si>
    <t xml:space="preserve">https://careers.arena.run/companies/movement-builders/jobs/57300666-petition-circulator</t>
  </si>
  <si>
    <t xml:space="preserve">https://careers.arena.run/companies/the-outreach-team-2</t>
  </si>
  <si>
    <t xml:space="preserve">These are the only MA circulator pay rates found. The newest is from Aug 2025 (2026 cycle). No fall-2026 posting for 2028 petitions was found. These hourly rates are a useful benchmark against the per-signature model the Legislature is considering banning (Finegold bill).</t>
  </si>
  <si>
    <t xml:space="preserve">https://careers.arena.run/companies/the-outreach-team-2/jobs/58881847-petitioner-work-to-protect-democracy</t>
  </si>
  <si>
    <t xml:space="preserve">https://jobs.recorder.com/job/970cd2a6-5876-445f-a3c7-cf1d31536102/petition-circulator</t>
  </si>
  <si>
    <t xml:space="preserve">https://jobs.gazettenet.com/job/92b385da-b99a-48cd-b22e-9281f552447e/support-staff-protect-democracy</t>
  </si>
  <si>
    <t xml:space="preserve">https://www.ziprecruiter.com/Jobs/Petition; https://careers.arena.run/companies/movement-builders/jobs/57300666-petition-circulator; https://app.massnonprofitnet.org/jobs/petitioners-needed-campaign-for-psilocybin-access</t>
  </si>
  <si>
    <t xml:space="preserve">P072</t>
  </si>
  <si>
    <t xml:space="preserve">Michigan</t>
  </si>
  <si>
    <t xml:space="preserve">Statewide (2028)</t>
  </si>
  <si>
    <t xml:space="preserve">Rank MI Vote ranked-choice voting amendment, 2028 relaunch</t>
  </si>
  <si>
    <t xml:space="preserve">Constitutional amendment for ranked-choice voting and election overhaul</t>
  </si>
  <si>
    <t xml:space="preserve">Rank MI Vote</t>
  </si>
  <si>
    <t xml:space="preserve">None (volunteer-driven in 2025-26)</t>
  </si>
  <si>
    <t xml:space="preserve">Planned 'second launch in April 2027' for 2028 ballot</t>
  </si>
  <si>
    <t xml:space="preserve">N/A (volunteer)</t>
  </si>
  <si>
    <t xml:space="preserve">Rank MI Vote co-directors (names unknown)</t>
  </si>
  <si>
    <t xml:space="preserve">Ended its 2026 effort in Dec 2025. Its failure as an all-volunteer drive makes it a natural prospect to pitch a paid operation for 2027-28.</t>
  </si>
  <si>
    <t xml:space="preserve">https://bridgemi.com/michigan-government/michigan-ranked-choice-voting-group-ends-2026-ballot-effort/</t>
  </si>
  <si>
    <t xml:space="preserve">P073</t>
  </si>
  <si>
    <t xml:space="preserve">Mason (Ingham County)</t>
  </si>
  <si>
    <t xml:space="preserve">Recall of Mason Mayor Russell Whipple (data center)</t>
  </si>
  <si>
    <t xml:space="preserve">Recall mayor over handling of proposed data center</t>
  </si>
  <si>
    <t xml:space="preserve">Michigan Citizens Against Data Centers (spokesperson Paula Caltrider)</t>
  </si>
  <si>
    <t xml:space="preserve">Targeting May 2027 ballot; refiling required</t>
  </si>
  <si>
    <t xml:space="preserve">First petition rejected (language mismatch)</t>
  </si>
  <si>
    <t xml:space="preserve">Paula Caltrider</t>
  </si>
  <si>
    <t xml:space="preserve">The companion recall of Councilwoman Elaine Ferris is on the Nov 3, 2026 ballot (Newsweek). Other Michigan township data-center recalls (Augusta, Frenchtown, Lowell, Van Buren, Lenox) were ongoing or had unclear status as of summer 2026. Lyon Township failed.</t>
  </si>
  <si>
    <t xml:space="preserve">https://www.wkar.org/election-2026/2026-07-08/recall-effort-continues-against-city-of-mason-mayor</t>
  </si>
  <si>
    <t xml:space="preserve">https://www.newsweek.com/elected-officials-face-recalls-nationwide-data-center-support-12400196</t>
  </si>
  <si>
    <t xml:space="preserve">P074</t>
  </si>
  <si>
    <t xml:space="preserve">Americans for Citizen Voting – Michigan (citizens-only voting / voter ID amendment), 2028 revival</t>
  </si>
  <si>
    <t xml:space="preserve">Constitutional amendment requiring citizenship verification for voters, a statewide voter identity verification program, and elimination of the affidavit option for voters without photo ID</t>
  </si>
  <si>
    <t xml:space="preserve">Initiated constitutional amendment (2028 target)</t>
  </si>
  <si>
    <t xml:space="preserve">Americans for Citizen Voting – Michigan (chair Paul Jacob; organizer Kurt O'Keefe); backed by Virginia-based Liberty Initiative Fund</t>
  </si>
  <si>
    <t xml:space="preserve">unknown for 2028. In the 2026 drive ACV paid Campaign &amp; Petition Management (Colorado, ~$3M), Campaign Audit &amp; Trust (Ludington, ~$200K) and Victory Field Operations (Webberville, $35K), per campaign finance records as of Oct 20, 2025</t>
  </si>
  <si>
    <t xml:space="preserve">unknown for 2028 (446,198 valid was the 2026 threshold; the 2028 threshold depends on the 2026 governor vote)</t>
  </si>
  <si>
    <t xml:space="preserve">unknown (2028 cycle)</t>
  </si>
  <si>
    <t xml:space="preserve">0 for 2028 cycle (unknown); 2026 drive filed 750,000+</t>
  </si>
  <si>
    <t xml:space="preserve">2026 drive: ~$3.2M+ paid to petition vendors as of Oct 2025; 2028 budget unknown</t>
  </si>
  <si>
    <t xml:space="preserve">Paul Jacob (chair)</t>
  </si>
  <si>
    <t xml:space="preserve">Sept 10, 2026 Michigan Advance: Jacob said the group will return in 2028 with far more signatures than the minimum. Oct 14, 2026 coverage repeats the 2028 aim. No 2028 petition form approval, vendor contract or hiring found yet. Most likely large paid drive in the region for 2028, given the 2026 spending history. Pending state bills to ban per-signature pay passed the Senate in Nov 2025 but are not law per the Jan 2026 reporting.</t>
  </si>
  <si>
    <t xml:space="preserve">https://michiganadvance.com/?p=111313</t>
  </si>
  <si>
    <t xml:space="preserve">https://www.newsfromthestates.com/node/426976</t>
  </si>
  <si>
    <t xml:space="preserve">https://www.newsfromthestates.com/node/432739</t>
  </si>
  <si>
    <t xml:space="preserve">https://michiganadvance.com/2026/09/10/citizens-only-voting-petition-sponsors-look-to-2028-after-initiative-fails-before-state-canvassers/; https://bridgemi.com/?p=71740; https://www.votebeat.org/michigan/2026/01/20/petition-signature-gathering-lying-ballot-questions-constitutional-amendments/</t>
  </si>
  <si>
    <t xml:space="preserve">P075</t>
  </si>
  <si>
    <t xml:space="preserve">Americans for Citizen Voting – 2026 proof-of-citizenship amendment drive</t>
  </si>
  <si>
    <t xml:space="preserve">Same as above, for the Nov 2026 ballot</t>
  </si>
  <si>
    <t xml:space="preserve">Initiated constitutional amendment</t>
  </si>
  <si>
    <t xml:space="preserve">Americans for Citizen Voting – Michigan</t>
  </si>
  <si>
    <t xml:space="preserve">Campaign &amp; Petition Management (Colorado); Campaign Audit &amp; Trust (Ludington, MI); Victory Field Operations (Webberville, MI)</t>
  </si>
  <si>
    <t xml:space="preserve">446,198 valid</t>
  </si>
  <si>
    <t xml:space="preserve">July 6, 2026</t>
  </si>
  <si>
    <t xml:space="preserve">750,000+ filed (per sponsor); failed in sampling by a few signatures; Board of State Canvassers deadlocked 2-2</t>
  </si>
  <si>
    <t xml:space="preserve">unknown (articles cite a ~$15/signature 2024 national average from Ballotpedia, not a Michigan rate)</t>
  </si>
  <si>
    <t xml:space="preserve">~$3M to Campaign &amp; Petition Management, ~$200K to Campaign Audit &amp; Trust, $35K to Victory Field Operations (as of Oct 20, 2025)</t>
  </si>
  <si>
    <t xml:space="preserve">Paul Jacob (chair); consultant Kristin Combs (said she does not manage vendors)</t>
  </si>
  <si>
    <t xml:space="preserve">Confirmed paid drive (vendor payments in campaign finance; ACV says 700+ people collected). Michigan Supreme Court ruled against it and it is off the 2026 ballot.</t>
  </si>
  <si>
    <t xml:space="preserve">https://bridgemi.com/?p=71740</t>
  </si>
  <si>
    <t xml:space="preserve">https://www.votebeat.org/michigan/2026/01/20/petition-signature-gathering-lying-ballot-questions-constitutional-amendments/</t>
  </si>
  <si>
    <t xml:space="preserve">https://michiganadvance.com/2026/08/24/board-of-state-canvassers-deadlocks-on-citizens-only-voting-measure-setting-up-court-fight/</t>
  </si>
  <si>
    <t xml:space="preserve">https://www.michiganpublic.org/politics-government/2026-09-04/michigans-november-2026-ballot-is-official-includes-two-questions-for-all-voters</t>
  </si>
  <si>
    <t xml:space="preserve">P076</t>
  </si>
  <si>
    <t xml:space="preserve">Michiganders for Money Out of Politics (now Proposal 2, Nov 2026)</t>
  </si>
  <si>
    <t xml:space="preserve">Initiated statute barring regulated utilities and large government contractors from making campaign contributions</t>
  </si>
  <si>
    <t xml:space="preserve">Initiated statute (went to the ballot after the legislature did not adopt it)</t>
  </si>
  <si>
    <t xml:space="preserve">Michiganders for Money Out of Politics (steering committee co-chair Christy McGillivray); circulator training material hosted by Voters Not Politicians</t>
  </si>
  <si>
    <t xml:space="preserve">356,958 valid</t>
  </si>
  <si>
    <t xml:space="preserve">May 27, 2026 (filed in May)</t>
  </si>
  <si>
    <t xml:space="preserve">562,000+ submitted; Board of State Canvassers found sufficient (sample 657/1,000 valid after challenge)</t>
  </si>
  <si>
    <t xml:space="preserve">Christy McGillivray (co-chair)</t>
  </si>
  <si>
    <t xml:space="preserve">Qualified as Proposal 2. Volunteer circulator listings (Idealist, VNP) found; no paid vendor found in what I checked. Suspended 2026 MI drives (not separate records): Rank MI Vote (Dec 2025), Invest in MI Kids (Mar 2026), Voters to Stop Paycuts (Mar 2026); AxMITax was volunteer-only.</t>
  </si>
  <si>
    <t xml:space="preserve">https://michiganadvance.com/2026/07/24/board-of-state-canvassers-finds-michigans-money-out-of-politics-effort-has-sufficient-valid-signatures/</t>
  </si>
  <si>
    <t xml:space="preserve">https://bridgemi.com/michigan-government/michigan-petition-groups-begin-final-push-what-will-make-the-ballot/</t>
  </si>
  <si>
    <t xml:space="preserve">https://www.idealist.org/en/volunteer-opportunity/fb8c4254c5774729b3bee90331de9ade-michiganders-for-money-out-of-politics-petition-circulator-voters-not-politicians-lansing</t>
  </si>
  <si>
    <t xml:space="preserve">P077</t>
  </si>
  <si>
    <t xml:space="preserve">Minnesota</t>
  </si>
  <si>
    <t xml:space="preserve">Minnesota has no statewide citizen initiative. City charter petitions (e.g. Minneapolis, St. Paul), recalls and ballot access were NOT searched because the shared web-search budget ran out. This is a research gap, not a confirmed absence.</t>
  </si>
  <si>
    <t xml:space="preserve">P078</t>
  </si>
  <si>
    <t xml:space="preserve">Mississippi</t>
  </si>
  <si>
    <t xml:space="preserve">NO VERIFIED ACTIVE PAID PROJECT</t>
  </si>
  <si>
    <t xml:space="preserve">Statewide initiative process (still not restored) and ballot access</t>
  </si>
  <si>
    <t xml:space="preserve">Statewide initiative (not available)</t>
  </si>
  <si>
    <t xml:space="preserve">Proposed SCR 518 would require 10% of registered voters (~170,000); not in effect. Independent statewide candidate: 1,000 (due Feb 2, 2026).</t>
  </si>
  <si>
    <t xml:space="preserve">Mississippi's initiative process has not been confirmed restored. SCR 518 (Sen. Jeremy England) passed the Senate Elections Committee in Feb 2026. It would allow statutory-only initiatives, exclude abortion and PERS, and needs two-thirds of the Senate by Feb 12 plus House action and a statewide vote. Its final 2026 outcome could not be confirmed before the search budget ran out. Even if adopted, it requires voter ratification, so no initiative drive is possible yet.</t>
  </si>
  <si>
    <t xml:space="preserve">https://mississippitoday.org/2026/02/04/senate-measure-to-restore-mississippi-voters-right-to-ballot-initiative-advances/</t>
  </si>
  <si>
    <t xml:space="preserve">P079</t>
  </si>
  <si>
    <t xml:space="preserve">Missouri</t>
  </si>
  <si>
    <t xml:space="preserve">Missouri Right to Education constitutional amendment, 2028 return</t>
  </si>
  <si>
    <t xml:space="preserve">Constitutional amendment making public education a fundamental right</t>
  </si>
  <si>
    <t xml:space="preserve">Statewide constitutional initiative, 2028</t>
  </si>
  <si>
    <t xml:space="preserve">Missouri Right to Education campaign (director Spencer Toder); Missouri NEA pledged 'substantial support' for 2028</t>
  </si>
  <si>
    <t xml:space="preserve">Constitutional threshold: 8% of the gubernatorial vote in 6 of 8 congressional districts (exact 2028 figure unknown)</t>
  </si>
  <si>
    <t xml:space="preserve">unknown (2028 cycle; Missouri initiative deadlines are typically early May of the election year)</t>
  </si>
  <si>
    <t xml:space="preserve">About 35,000 in the abandoned 2026 attempt; 2028 count 0</t>
  </si>
  <si>
    <t xml:space="preserve">Spencer Toder; Missouri NEA (budget source)</t>
  </si>
  <si>
    <t xml:space="preserve">The 2026 drive was volunteer-led and stopped Mar 31, 2026 at roughly one-fifth of the needed signatures. The campaign plans to return in 2028 with MNEA backing. MNEA money makes this a candidate for a paid drive, but nothing is confirmed. The SOS 2028 petition page could not be fetched (not on the allowlist), so 2028 filing status is unknown.</t>
  </si>
  <si>
    <t xml:space="preserve">https://missouriindependent.com/2026/03/31/missouri-public-education-amendment-campaign-stops-signature-push-plans-2028-return/</t>
  </si>
  <si>
    <t xml:space="preserve">P080</t>
  </si>
  <si>
    <t xml:space="preserve">Respect MO Voters (Amendment 6)</t>
  </si>
  <si>
    <t xml:space="preserve">Require an 80% legislative vote plus a statewide vote to change voter-approved initiatives; bar the legislature from restricting the initiative process</t>
  </si>
  <si>
    <t xml:space="preserve">Respect MO Voters campaign</t>
  </si>
  <si>
    <t xml:space="preserve">5% of the gubernatorial vote in 6 of 8 congressional districts (~170,215 minimum depending on distribution)</t>
  </si>
  <si>
    <t xml:space="preserve">May 3, 2026 (submitted)</t>
  </si>
  <si>
    <t xml:space="preserve">More than 367,000 (submitted)</t>
  </si>
  <si>
    <t xml:space="preserve">unknown (MEC filings not checked)</t>
  </si>
  <si>
    <t xml:space="preserve">This was the only citizen initiative to submit signatures for Missouri's 2026 ballot. The Missouri Supreme Court placed it on the Nov 3 ballot as Amendment 6 (Sept 3, 2026). Firm and pay were not found.</t>
  </si>
  <si>
    <t xml:space="preserve">https://news.ballotpedia.org/2026/05/05/signatures-submitted-for-missouri-initiative-requiring-voter-approval-for-certain-legislative-changes-to-initiative-process-and-voter-approved-laws/</t>
  </si>
  <si>
    <t xml:space="preserve">https://www.krcu.org/2026-09-03/missouri-supreme-court-puts-respect-missouri-voters-plan-on-november-ballot</t>
  </si>
  <si>
    <t xml:space="preserve">P081</t>
  </si>
  <si>
    <t xml:space="preserve">Independence (Jackson County)</t>
  </si>
  <si>
    <t xml:space="preserve">Recall of Councilman John Perkins (data center)</t>
  </si>
  <si>
    <t xml:space="preserve">Recall council member over Nebius AI data center tax incentives</t>
  </si>
  <si>
    <t xml:space="preserve">Resident organizers (McKenna Cobb)</t>
  </si>
  <si>
    <t xml:space="preserve">About 1,000</t>
  </si>
  <si>
    <t xml:space="preserve">Recall election held Sep 1, 2026</t>
  </si>
  <si>
    <t xml:space="preserve">1,214 certified</t>
  </si>
  <si>
    <t xml:space="preserve">McKenna Cobb</t>
  </si>
  <si>
    <t xml:space="preserve">Perkins was recalled 68% to 32%. Residents have also called for a data-center moratorium vote. This is a proof case for data-center-opposition petition demand.</t>
  </si>
  <si>
    <t xml:space="preserve">https://kctv5.com/2026/06/11/ai-data-center-vote-fuels-recall-push-independence-councilman-now-faces-election-keep-his-seat/</t>
  </si>
  <si>
    <t xml:space="preserve">https://www.kshb.com/news/local-news/independence-mo-councilman-recalled-by-voters-in-his-district-after-his-vote-for-data-center-tax-incentives</t>
  </si>
  <si>
    <t xml:space="preserve">P082</t>
  </si>
  <si>
    <t xml:space="preserve">Statewide (2026 litigation)</t>
  </si>
  <si>
    <t xml:space="preserve">Respect MO Voters (Amendment 6) and People Not Politicians redistricting referendum (Prop A)</t>
  </si>
  <si>
    <t xml:space="preserve">Respect MO Voters: limit legislative changes to voter-approved initiatives. Prop A: overturn the 2025 congressional map</t>
  </si>
  <si>
    <t xml:space="preserve">Constitutional amendment initiative / statutory referendum</t>
  </si>
  <si>
    <t xml:space="preserve">Respect MO Voters (co-founder Benjamin Singer); People Not Politicians PAC</t>
  </si>
  <si>
    <t xml:space="preserve">Amendment: 8% in 6 of 8 CDs. Referendum: 5% in 6 of 8 CDs</t>
  </si>
  <si>
    <t xml:space="preserve">Signature phase done; litigation over Nov 3, 2026 ballot placement (Missouri Supreme Court reportedly ordered an initiative back on ballot per Missouri Times; which one not confirmed here)</t>
  </si>
  <si>
    <t xml:space="preserve">Prop A: about 305,000 submitted (about 103,000 ruled invalid as gathered before Oct 14). Respect MO Voters: had enough per SOS preliminary reports</t>
  </si>
  <si>
    <t xml:space="preserve">Benjamin Singer; attorney Chuck Hatfield</t>
  </si>
  <si>
    <t xml:space="preserve">Context only. If Respect MO Voters is defeated or blocked, a 2028 refile is plausible but unverified. No Missouri 2028 petition with paid circulators was found.</t>
  </si>
  <si>
    <t xml:space="preserve">https://www.kcur.org/politics-elections-and-government/2026-08-18/missouri-ballot-proposals-respect-mo-voters-redistricting-signatures-blocked</t>
  </si>
  <si>
    <t xml:space="preserve">https://themissouritimes.com/breaking-missouri-supreme-court-orders-initiative-petition-back-on-november-ballot/</t>
  </si>
  <si>
    <t xml:space="preserve">P083</t>
  </si>
  <si>
    <t xml:space="preserve">People Not Politicians – referendum on 2025 congressional map</t>
  </si>
  <si>
    <t xml:space="preserve">Veto referendum to overturn the congressional map passed Sept 12, 2025</t>
  </si>
  <si>
    <t xml:space="preserve">Statewide veto referendum</t>
  </si>
  <si>
    <t xml:space="preserve">People Not Politicians (PAC); executive director Richard von Glahn</t>
  </si>
  <si>
    <t xml:space="preserve">About 110,000 valid (5% of voters in 6 of 8 congressional districts)</t>
  </si>
  <si>
    <t xml:space="preserve">Submitted Dec 9, 2025</t>
  </si>
  <si>
    <t xml:space="preserve">305,968 on 49,773 pages (SOS withheld pre-Oct 14 pages)</t>
  </si>
  <si>
    <t xml:space="preserve">Richard von Glahn</t>
  </si>
  <si>
    <t xml:space="preserve">Labor Tribune says the drive used paid petition circulators alongside labor volunteers, and that outside groups allegedly offered paid circulators $5,000 to $30,000 to dump signatures. The Missouri Supreme Court put the referendum on the Nov 2026 ballot. The drive is finished. Firm and pay rate were not found.</t>
  </si>
  <si>
    <t xml:space="preserve">https://labortribune.com/with-labors-help-305k-signatures-submitted-on-referendum-challenging-missouris-gerrymandered-congressional-maps/</t>
  </si>
  <si>
    <t xml:space="preserve">https://electionlawblog.org/2026/denny-hoskins-isnt-verifying-one-third-of-signatures-for-vote-on-missouris-gerrymandered-map/</t>
  </si>
  <si>
    <t xml:space="preserve">https://www.democracydocket.com/?p=65068</t>
  </si>
  <si>
    <t xml:space="preserve">P084</t>
  </si>
  <si>
    <t xml:space="preserve">Montana</t>
  </si>
  <si>
    <t xml:space="preserve">Initiative 194 - prohibit entity political spending</t>
  </si>
  <si>
    <t xml:space="preserve">Bar corporations, nonprofits, and trade associations from contributing to candidate and ballot-measure elections</t>
  </si>
  <si>
    <t xml:space="preserve">Transparent Election Initiative</t>
  </si>
  <si>
    <t xml:space="preserve">30,121 plus 5% in 34 of 100 House districts</t>
  </si>
  <si>
    <t xml:space="preserve">June 19, 2026 to counties; July 17, 2026 to SOS</t>
  </si>
  <si>
    <t xml:space="preserve">About 50,000 submitted</t>
  </si>
  <si>
    <t xml:space="preserve">unknown (Ballotpedia: 2024 MT qualified initiatives averaged about $1.7M and about $27.42 per required signature)</t>
  </si>
  <si>
    <t xml:space="preserve">Paid share unknown. 12 initiatives were filed for 2026 in Montana; only I-194, CI-132, and CI-133 submitted signatures.</t>
  </si>
  <si>
    <t xml:space="preserve">https://news.ballotpedia.org/2026/06/17/campaign-behind-a-ballot-initiative-to-prohibit-corporations-from-political-spending-in-montana-submits-signatures/</t>
  </si>
  <si>
    <t xml:space="preserve">P085</t>
  </si>
  <si>
    <t xml:space="preserve">CI-133 - initiative and referendum rights in the Declaration of Rights</t>
  </si>
  <si>
    <t xml:space="preserve">Guarantee impartial, predictable, transparent initiative processes</t>
  </si>
  <si>
    <t xml:space="preserve">Montanans Decide (campaign manager SK Rossi)</t>
  </si>
  <si>
    <t xml:space="preserve">60,241 (10%) plus district distribution</t>
  </si>
  <si>
    <t xml:space="preserve">Over 100,000 filed with counties</t>
  </si>
  <si>
    <t xml:space="preserve">SK Rossi (campaign manager)</t>
  </si>
  <si>
    <t xml:space="preserve">Paid share unknown. CI-132 (nonpartisan judicial elections; sponsor not found) also submitted signatures for 2026.</t>
  </si>
  <si>
    <t xml:space="preserve">https://news.ballotpedia.org/2026/06/23/campaign-behind-montana-ballot-measure-to-guarantee-impartial-predictable-transparent-and-expeditious-processes-for-ballot-initiatives-submits-signatures/</t>
  </si>
  <si>
    <t xml:space="preserve">https://sosmt.gov/docs/24/ballot-issues/69573/2025-26_ballot_issues__signature_gathering</t>
  </si>
  <si>
    <t xml:space="preserve">P086</t>
  </si>
  <si>
    <t xml:space="preserve">Nebraska</t>
  </si>
  <si>
    <t xml:space="preserve">Make Nebraska Even Better (15-petition 2028 package)</t>
  </si>
  <si>
    <t xml:space="preserve">15 separate statutory/constitutional initiatives for 2028: property tax levy limits and voter approval to exceed them, ban on unfunded mandates, 'Harvest Fuel Tax Holiday' (2-month annual fuel tax suspension plus 35-cent cap), education and election administration.</t>
  </si>
  <si>
    <t xml:space="preserve">Statewide initiatives (statutory and constitutional), 2028</t>
  </si>
  <si>
    <t xml:space="preserve">Eric Underwood (Lincoln, former Nebraska GOP chair) / Advocates for All Nebraskans</t>
  </si>
  <si>
    <t xml:space="preserve">A new Nebraska-based signature-gathering firm, name not disclosed, using only Nebraska circulators</t>
  </si>
  <si>
    <t xml:space="preserve">Statutory: 7% of registered voters; constitutional: 10% of registered voters; plus 5% in at least 38 of 93 counties (exact counts unknown for 2028)</t>
  </si>
  <si>
    <t xml:space="preserve">First week of July 2028</t>
  </si>
  <si>
    <t xml:space="preserve">0 (launch planned after the Nov 3, 2026 election)</t>
  </si>
  <si>
    <t xml:space="preserve">Eric Underwood</t>
  </si>
  <si>
    <t xml:space="preserve">unknown (no campaign contact published)</t>
  </si>
  <si>
    <t xml:space="preserve">Nebraska Examiner (Oct 16, 2026) reports launch after Nov 3; wording still under Revisor of Statutes review. Plans door-to-door canvassing from a 200,000+ voter list across ~150 cities. Article says a new Nebraska-only signature firm will assist, so paid circulation is likely, but pay is not confirmed. Same group submitted no signatures for its 2026 petitions. Watch for legislation from Gov. Pillen and SOS Evnen to ban per-signature pay and require circulators to be citizens (see 1011now, Sept 3, 2026).</t>
  </si>
  <si>
    <t xml:space="preserve">https://www.wowt.com/2026/10/16/antithesis-that-chaos-15-petition-effort-will-soon-launch-seeking-nebraskas-2028-ballot/</t>
  </si>
  <si>
    <t xml:space="preserve">https://www.newsfromthestates.com/node/433107</t>
  </si>
  <si>
    <t xml:space="preserve">P087</t>
  </si>
  <si>
    <t xml:space="preserve">Respect Nebraska Voters</t>
  </si>
  <si>
    <t xml:space="preserve">Constitutional amendment raising the legislative vote needed to change voter-approved initiatives from 2/3 to 4/5, and applying it to laws affecting the initiative process</t>
  </si>
  <si>
    <t xml:space="preserve">Respect Nebraska Voters coalition; ballot sponsor Dawn Essink (Omaha Together One Community)</t>
  </si>
  <si>
    <t xml:space="preserve">10% of registered voters plus 5% in 38 counties (exact count not given in the source)</t>
  </si>
  <si>
    <t xml:space="preserve">July 2, 2026</t>
  </si>
  <si>
    <t xml:space="preserve">More than 186,000 (submitted, campaign figure)</t>
  </si>
  <si>
    <t xml:space="preserve">Dawn Essink (ballot sponsor)</t>
  </si>
  <si>
    <t xml:space="preserve">Signatures submitted July 2, 2026, with signers in every county. Whether circulators were paid is not stated, and qualification was not confirmed in the sources read.</t>
  </si>
  <si>
    <t xml:space="preserve">https://www.wowt.com/2026/07/02/respect-nebraska-voters-submits-more-than-186k-signatures-november-ballot-initiative/</t>
  </si>
  <si>
    <t xml:space="preserve">P088</t>
  </si>
  <si>
    <t xml:space="preserve">Tax Relief Nebraska – online sports betting (constitutional + statutory)</t>
  </si>
  <si>
    <t xml:space="preserve">Legalize and regulate online sports betting; statutory framework sends 70% of tax proceeds to property tax relief</t>
  </si>
  <si>
    <t xml:space="preserve">Statewide initiatives (constitutional amendment + statute), 2026</t>
  </si>
  <si>
    <t xml:space="preserve">Tax Relief Nebraska (led by WarHorse casino with online sportsbook operators and local investors)</t>
  </si>
  <si>
    <t xml:space="preserve">~126,000 (constitutional); ~88,000 (statutory)</t>
  </si>
  <si>
    <t xml:space="preserve">July 2, 2026 (submitted about a week early)</t>
  </si>
  <si>
    <t xml:space="preserve">201,000+ (constitutional) and ~146,000 (statutory), as submitted, not verified counts</t>
  </si>
  <si>
    <t xml:space="preserve">DraftKings and FanDuel gave about $3.5M each (more than $7M combined) per Nebraska Public Media, June 26, 2026</t>
  </si>
  <si>
    <t xml:space="preserve">unknown (Lynne McNally, WarHorse director of government relations, is the public spokesperson)</t>
  </si>
  <si>
    <t xml:space="preserve">Drive finished with signatures submitted in late June / July 2026. McNally said paid circulators are necessary for a successful drive. Nebraska law allows per-signature pay and out-of-state circulators. Firm name not found; the NADC filings were not checked. Final ballot certification not confirmed in the sources read.</t>
  </si>
  <si>
    <t xml:space="preserve">https://www.wowt.com/2026/07/02/backers-online-sports-betting-nebraska-submit-signatures-get-2026-ballot/</t>
  </si>
  <si>
    <t xml:space="preserve">https://nebraskapublicmedia.org/es/news/news-articles/online-gambling-petition-on-track-to-make-nebraskas-ballot-with-multi-million-dollar-campaign/</t>
  </si>
  <si>
    <t xml:space="preserve">https://www.legalsportsreport.com/268438/nebraska-online-sports-betting-signatures-delivered-before-deadline/</t>
  </si>
  <si>
    <t xml:space="preserve">https://cdcgaming.com/brief/nebraska-online-sports-betting-ballot-push-clears-signature-threshold/</t>
  </si>
  <si>
    <t xml:space="preserve">P089</t>
  </si>
  <si>
    <t xml:space="preserve">Nevada</t>
  </si>
  <si>
    <t xml:space="preserve">Protect Girls' Sports constitutional initiative (possible refile)</t>
  </si>
  <si>
    <t xml:space="preserve">Bar transgender girls from girls' school sports divisions</t>
  </si>
  <si>
    <t xml:space="preserve">Protect Girls' Sports PAC (backed by Gov. Joe Lombardo)</t>
  </si>
  <si>
    <t xml:space="preserve">148,788 (split across 4 congressional districts), per Nevada Current</t>
  </si>
  <si>
    <t xml:space="preserve">unknown (2026 attempt dropped; refile date not announced)</t>
  </si>
  <si>
    <t xml:space="preserve">Gov. Joe Lombardo / Protect Girls' Sports PAC</t>
  </si>
  <si>
    <t xml:space="preserve">Lombardo dropped the 2026 petition despite winning in the NV Supreme Court on June 18, citing legal delays. He asked the 2027 Legislature to act and vowed to bring the petition back if it doesn't. No current signature collection was found.</t>
  </si>
  <si>
    <t xml:space="preserve">https://nevadacurrent.com/?p=219001</t>
  </si>
  <si>
    <t xml:space="preserve">https://nevadacurrent.com/?p=219689</t>
  </si>
  <si>
    <t xml:space="preserve">P090</t>
  </si>
  <si>
    <t xml:space="preserve">Vote Nevada PAC - redistricting / Voters' Bill of Rights / unfunded-mandate fix / digital signatures</t>
  </si>
  <si>
    <t xml:space="preserve">Nonpartisan redistricting, open primaries, and initiative-process reforms</t>
  </si>
  <si>
    <t xml:space="preserve">Initiative constitutional amendments and a statutory initiative</t>
  </si>
  <si>
    <t xml:space="preserve">Vote Nevada PAC (Sondra Cosgrove, Doug Goodman)</t>
  </si>
  <si>
    <t xml:space="preserve">None (volunteer)</t>
  </si>
  <si>
    <t xml:space="preserve">About 148,788 each (constitutional)</t>
  </si>
  <si>
    <t xml:space="preserve">2026-06-24 (passed)</t>
  </si>
  <si>
    <t xml:space="preserve">Insufficient (none qualified)</t>
  </si>
  <si>
    <t xml:space="preserve">No funding disclosures as of Oct 2025; lacked funds to appeal court losses</t>
  </si>
  <si>
    <t xml:space="preserve">Sondra Cosgrove</t>
  </si>
  <si>
    <t xml:space="preserve">Volunteers could not gather enough physical signatures, a judge struck the redistricting measure as an unfunded mandate, and the digital-signature measure was withdrawn after a challenge from BizPAC. This is a funded-infrastructure gap: the group may refile for 2028 (not announced). Only 2 statewide questions (Q6, Q7, both legislative second votes) are on NV's Nov 2026 ballot. No 2028 initiative filings or active county/city petitions or recalls were verified. The recalls found were 2020 or older.</t>
  </si>
  <si>
    <t xml:space="preserve">https://thenevadaindependent.com/article/tracking-2026-nevada-ballot-measures-whats-up-for-a-vote-and-whats-still-in-limbo</t>
  </si>
  <si>
    <t xml:space="preserve">P091</t>
  </si>
  <si>
    <t xml:space="preserve">New Hampshire</t>
  </si>
  <si>
    <t xml:space="preserve">Not researched: the shared web-search budget (200 searches per turn) ran out before NH searches could run. Background: NH has no statewide citizen initiative, so look for local petitioned warrant articles (March 2027 town meetings, typically filed in Jan–Feb) and candidate nomination petitions. Needs a follow-up pass.</t>
  </si>
  <si>
    <t xml:space="preserve">https://www.salemnh.gov/DocumentCenter/View/6408/Submitttal-Guidelines-for-Citizen-Petition-Warrant-Articles---2026</t>
  </si>
  <si>
    <t xml:space="preserve">P092</t>
  </si>
  <si>
    <t xml:space="preserve">New Jersey</t>
  </si>
  <si>
    <t xml:space="preserve">Not researched: search budget exhausted. The likely market is municipal initiative/referendum petitions and 2027 legislative-primary candidate petitions. Needs a follow-up pass.</t>
  </si>
  <si>
    <t xml:space="preserve">https://insidernj.com/press-release/hoboken-rent-control-referendum-petitions-submited-to-clerk-for-certification-clock-starts-ticking-on-special-election</t>
  </si>
  <si>
    <t xml:space="preserve">P093</t>
  </si>
  <si>
    <t xml:space="preserve">New Mexico</t>
  </si>
  <si>
    <t xml:space="preserve">New Mexico Forward Party - minor-party candidate ballot access (Perls for U.S. Senate; Vigil for State Auditor)</t>
  </si>
  <si>
    <t xml:space="preserve">Put Forward Party candidates on the 2026 ballot</t>
  </si>
  <si>
    <t xml:space="preserve">Candidate / minor-party ballot access petition</t>
  </si>
  <si>
    <t xml:space="preserve">New Mexico Forward Party (chair Bob Perls)</t>
  </si>
  <si>
    <t xml:space="preserve">More than 14,000 per minor-party candidate</t>
  </si>
  <si>
    <t xml:space="preserve">Passed; lawsuit lost at district court and 10th Circuit (Sept 2026); SCOTUS emergency request filed Sept 15, 2026</t>
  </si>
  <si>
    <t xml:space="preserve">unknown (fell short of 14,000; party says it exceeded major-party thresholds)</t>
  </si>
  <si>
    <t xml:space="preserve">Bob Perls (party chair)</t>
  </si>
  <si>
    <t xml:space="preserve">This shows unmet demand for minor-party ballot access work in New Mexico (a 14K+ signature bar). Whether any circulators were paid is unknown.</t>
  </si>
  <si>
    <t xml:space="preserve">https://sourcenm.com/2026/09/16/new-mexico-forward-party-asks-us-supreme-court-to-intervene-in-ballot-access-lawsuit/</t>
  </si>
  <si>
    <t xml:space="preserve">P094</t>
  </si>
  <si>
    <t xml:space="preserve">New York</t>
  </si>
  <si>
    <t xml:space="preserve">Statewide / NYC</t>
  </si>
  <si>
    <t xml:space="preserve">2027 candidate designating and independent nominating petitions (NYC Council, local offices)</t>
  </si>
  <si>
    <t xml:space="preserve">Ballot access for 2027 primary/general candidates</t>
  </si>
  <si>
    <t xml:space="preserve">Candidate ballot access petitions</t>
  </si>
  <si>
    <t xml:space="preserve">Candidates and party committees (various)</t>
  </si>
  <si>
    <t xml:space="preserve">Per NY Election Law 6-136 by office (not verified for 2027)</t>
  </si>
  <si>
    <t xml:space="preserve">unknown — the 2027 NYS political calendar was not found; the brief's estimate is that petitioning starts around late Feb 2027</t>
  </si>
  <si>
    <t xml:space="preserve">unknown for 2027. Benchmark: Green Party of NY paid $25/hr in 2024 (5 weeks)</t>
  </si>
  <si>
    <t xml:space="preserve">Individual campaigns</t>
  </si>
  <si>
    <t xml:space="preserve">NYS Board of Elections / NYC Board of Elections (vote.nyc)</t>
  </si>
  <si>
    <t xml:space="preserve">https://elections.ny.gov ; https://vote.nyc</t>
  </si>
  <si>
    <t xml:space="preserve">No 2027 calendar or 2027 job ads verified. NY has no statewide citizen initiative. The paid-petitioning market is candidate ballot access, concentrated Feb-Apr. Bills S6996/A1223 (2025) affecting petitioning exist, but their content was not verified.</t>
  </si>
  <si>
    <t xml:space="preserve">https://codes.findlaw.com/ny/election-law/eln-sect-6-136/</t>
  </si>
  <si>
    <t xml:space="preserve">https://www.gp.org/gpny_now_hiring_petition_circulators</t>
  </si>
  <si>
    <t xml:space="preserve">P095</t>
  </si>
  <si>
    <t xml:space="preserve">North Carolina</t>
  </si>
  <si>
    <t xml:space="preserve">North Carolina Forward Party - new party recognition petition (2027-28)</t>
  </si>
  <si>
    <t xml:space="preserve">Gain statewide party ballot status</t>
  </si>
  <si>
    <t xml:space="preserve">Party ballot access petition</t>
  </si>
  <si>
    <t xml:space="preserve">Forward Party</t>
  </si>
  <si>
    <t xml:space="preserve">14,310 (2026 requirement; the 2028 figure may differ)</t>
  </si>
  <si>
    <t xml:space="preserve">unknown for 2027/2028 (the 2026 deadline was May 17, 2026)</t>
  </si>
  <si>
    <t xml:space="preserve">unknown. Not enough for 2026; the party said it will use the signatures for 2027 and 2028.</t>
  </si>
  <si>
    <t xml:space="preserve">Patrick Newton, chair</t>
  </si>
  <si>
    <t xml:space="preserve">Per Ballot Access News June 2026, Forward is continuing its NC party petition into 2027-2028. Libertarian and Green are already qualified; NC statewide independent needs 83,874. No evidence that the circulators are paid.</t>
  </si>
  <si>
    <t xml:space="preserve">https://ballot-access.org/?p=93821</t>
  </si>
  <si>
    <t xml:space="preserve">https://www.wunc.org/politics/2025-07-28/nc-forward-party-campaign-ballot</t>
  </si>
  <si>
    <t xml:space="preserve">https://ncsbe.gov/candidates/petitions/petition-recognition-political-party</t>
  </si>
  <si>
    <t xml:space="preserve">P096</t>
  </si>
  <si>
    <t xml:space="preserve">North Dakota</t>
  </si>
  <si>
    <t xml:space="preserve">https://www.sos.nd.gov/elections/voter/ballot-measures/petitions-circulation</t>
  </si>
  <si>
    <t xml:space="preserve">The ND SOS 'Petitions in Circulation' page shows 'None at this time' for initiated measures, referred measures and petitions under review. The SOS news page (Sept 21, 2026) mentions only the Nov 3 ballot guide. The 2026 general ballot has CM1 (HCR 3003, legislative) and CM2 (school lunch funding). Local and recall petitions were not searched.</t>
  </si>
  <si>
    <t xml:space="preserve">https://www.sos.nd.gov/elections/voter/ballot-measures/measures-ballot</t>
  </si>
  <si>
    <t xml:space="preserve">https://sos.nd.gov/news</t>
  </si>
  <si>
    <t xml:space="preserve">P097</t>
  </si>
  <si>
    <t xml:space="preserve">Ohio</t>
  </si>
  <si>
    <t xml:space="preserve">Ohio Equal Rights – Equal Protections amendment and Right to Marry amendment (moved to Nov 2027)</t>
  </si>
  <si>
    <t xml:space="preserve">(1) Bar state and local laws that discriminate based on protected traits incl. sexual orientation and gender identity; (2) repeal the constitutional definition of marriage</t>
  </si>
  <si>
    <t xml:space="preserve">Two initiated constitutional amendments (split by the Ohio Ballot Board in 2025)</t>
  </si>
  <si>
    <t xml:space="preserve">Ohio Equal Rights (executive co-chair Lis Regula)</t>
  </si>
  <si>
    <t xml:space="preserve">Sources conflict: 442,958 valid per amendment (The Buckeye Flame) vs ~413,487 (Daily Signal); plus signatures from at least 44 of 88 counties</t>
  </si>
  <si>
    <t xml:space="preserve">July 1, 2027 per The Buckeye Flame's description of the rule (for the Nov 2027 ballot); exact date not officially confirmed here</t>
  </si>
  <si>
    <t xml:space="preserve">unknown (group declined to say); signatures collected so far carry over</t>
  </si>
  <si>
    <t xml:space="preserve">Lis Regula (executive co-chair)</t>
  </si>
  <si>
    <t xml:space="preserve">unknown (website has a collaboration form)</t>
  </si>
  <si>
    <t xml:space="preserve">https://ohioequalrights.org</t>
  </si>
  <si>
    <t xml:space="preserve">June 17, 2026: OER moved to the 2027 ballot; collection continues. Coverage describes volunteer collection at Pride events. No paid vendor found. Needs ~830k-890k valid signatures across two petitions, so a paid program may be needed to finish. A strong target for a pitch.</t>
  </si>
  <si>
    <t xml:space="preserve">https://thebuckeyeflame.com/2026/06/17/organizers-postpone-ohio-equal-rights-ballot-initiatives-to-2027/</t>
  </si>
  <si>
    <t xml:space="preserve">https://www.dailysignal.com/2026/06/29/ohio-amendments-nov-2027/</t>
  </si>
  <si>
    <t xml:space="preserve">https://www.yahoo.com/news/articles/ohio-voters-could-decide-property-065823650.html</t>
  </si>
  <si>
    <t xml:space="preserve">P098</t>
  </si>
  <si>
    <t xml:space="preserve">Committee to Abolish Ohio Property Taxes (moved to Nov 2027)</t>
  </si>
  <si>
    <t xml:space="preserve">Constitutional amendment banning taxes on real property (utilities excepted)</t>
  </si>
  <si>
    <t xml:space="preserve">Official Committee to Abolish Ohio's Property Taxes (leader Brian Massie)</t>
  </si>
  <si>
    <t xml:space="preserve">413,488 valid (legal minimum cited by Signal Cleveland); group's own goal 620,000+</t>
  </si>
  <si>
    <t xml:space="preserve">unknown exact date (2027 cycle)</t>
  </si>
  <si>
    <t xml:space="preserve">~320,000 as of April 2026 announcement (an April 23 report cited 305,000); current count not disclosed</t>
  </si>
  <si>
    <t xml:space="preserve">Brian Massie</t>
  </si>
  <si>
    <t xml:space="preserve">Dropped its 2026 bid in June 2026 and is targeting Nov 2027; signatures carry over. No source says whether circulators are paid. Opposed by Ohioans to Protect Public Services (protectpublicservices.org).</t>
  </si>
  <si>
    <t xml:space="preserve">https://signalcleveland.org/ohio-property-tax-amendment-abolish-ends-2026-ballot-bid-targets-2027-election/</t>
  </si>
  <si>
    <t xml:space="preserve">https://signalcleveland.org/ohio-property-tax-abolition-campaign-hits-305000-signatures-heres-what-that-means-for-its-chances/</t>
  </si>
  <si>
    <t xml:space="preserve">https://www.wosu.org/2026-06-05/amendment-to-abolish-ohio-property-taxes-wont-be-on-fall-ballot</t>
  </si>
  <si>
    <t xml:space="preserve">https://highlandcountypress.com/news/property-tax-petition-quest-ohio-ballot-pushed-2027</t>
  </si>
  <si>
    <t xml:space="preserve">P099</t>
  </si>
  <si>
    <t xml:space="preserve">Ohioans for Cannabis Choice – SB 56 referendum</t>
  </si>
  <si>
    <t xml:space="preserve">Referendum to block SB 56 (hemp/THC restrictions and marijuana law changes)</t>
  </si>
  <si>
    <t xml:space="preserve">Statutory referendum</t>
  </si>
  <si>
    <t xml:space="preserve">Ohioans for Cannabis Choice</t>
  </si>
  <si>
    <t xml:space="preserve">Arno Petition Consultant (California; Michael Arno) as lead; L&amp;R Political Consultants (Larry Laws) recruited; subcontractor Ohio Petitioning Partners (Pam Lauter)</t>
  </si>
  <si>
    <t xml:space="preserve">248,092 valid plus 3% of gubernatorial turnout in 44 of 88 counties</t>
  </si>
  <si>
    <t xml:space="preserve">March 19, 2026</t>
  </si>
  <si>
    <t xml:space="preserve">~208,000 (per Mark Fashian); failed</t>
  </si>
  <si>
    <t xml:space="preserve">$9 per valid signature (reported promise)</t>
  </si>
  <si>
    <t xml:space="preserve">No more than $100,000 on petitioner payments (per Larry Laws)</t>
  </si>
  <si>
    <t xml:space="preserve">Confirmed paid drive. Paid petitioners were pulled Feb 25, 2026, and several say they were never paid (demand letter Mar 27, 2026). A warning sign about vendor payment risk in Ohio.</t>
  </si>
  <si>
    <t xml:space="preserve">https://ohiocapitaljournal.com/?p=38817</t>
  </si>
  <si>
    <t xml:space="preserve">https://www.fox19.com/2026/03/18/massive-overhaul-ohio-cannabis-laws-way-after-group-fails-stop-sb-56</t>
  </si>
  <si>
    <t xml:space="preserve">P100</t>
  </si>
  <si>
    <t xml:space="preserve">Oklahoma</t>
  </si>
  <si>
    <t xml:space="preserve">SQ 837 – Recreational cannabis</t>
  </si>
  <si>
    <t xml:space="preserve">Legalize adult-use cannabis</t>
  </si>
  <si>
    <t xml:space="preserve">Statewide constitutional initiative petition</t>
  </si>
  <si>
    <t xml:space="preserve">Oklahomans for Responsible Cannabis Action (ORCA); director Jed Green</t>
  </si>
  <si>
    <t xml:space="preserve">172,993</t>
  </si>
  <si>
    <t xml:space="preserve">Nov 3/4, 2025 (90-day window from Aug 6, 2025)</t>
  </si>
  <si>
    <t xml:space="preserve">None submitted</t>
  </si>
  <si>
    <t xml:space="preserve">Jed Green</t>
  </si>
  <si>
    <t xml:space="preserve">Failed to qualify in Nov 2025. It was the first drive under SB 1027's county-cap law. Included as a possible refile prospect only.</t>
  </si>
  <si>
    <t xml:space="preserve">https://www.yahoo.com/news/articles/campaign-legalize-cannabis-oklahoma-start-104322662.html</t>
  </si>
  <si>
    <t xml:space="preserve">https://www.news9.com/oklahoma-politics/oklahoma-recreational-marijuana-petition-fails-to-qualify-ballot</t>
  </si>
  <si>
    <t xml:space="preserve">P101</t>
  </si>
  <si>
    <t xml:space="preserve">SQ 836 – Open primaries (Vote Yes 836 / Oklahoma United)</t>
  </si>
  <si>
    <t xml:space="preserve">Replace closed partisan primaries with a single top-two primary</t>
  </si>
  <si>
    <t xml:space="preserve">Statewide constitutional initiative petition (IP 448)</t>
  </si>
  <si>
    <t xml:space="preserve">Oklahoma United / Oklahomans United for Progress (founder Margaret Kobos)</t>
  </si>
  <si>
    <t xml:space="preserve">Submitted Jan 27, 2026</t>
  </si>
  <si>
    <t xml:space="preserve">Over 200,000 submitted; SOS counted 142,567 valid (57,841 tossed under the 2024 data-match law)</t>
  </si>
  <si>
    <t xml:space="preserve">Margaret Kobos</t>
  </si>
  <si>
    <t xml:space="preserve">Circulation ran Oct 29, 2025 to Jan 2026. Ruled short of signatures; a challenge was heard by a Supreme Court referee July 14, 2026, and the outcome was not found. Paid circulation is not mentioned in the sources. It could need a new drive if it loses.</t>
  </si>
  <si>
    <t xml:space="preserve">https://www.news9.com/oklahoma-politics/signed-petitions-open-primaries-oklahoma-delivered</t>
  </si>
  <si>
    <t xml:space="preserve">https://www.kgou.org/politics-and-government/2026-07-15/oklahoma-supreme-court-to-decide-legality-of-state-question-signature-purge</t>
  </si>
  <si>
    <t xml:space="preserve">https://www.okgazette.com/news/state/state-question-836-campaign-begins-gathering-signatures/</t>
  </si>
  <si>
    <t xml:space="preserve">https://oklahomaconstitution.com/ns.php?nid=1461</t>
  </si>
  <si>
    <t xml:space="preserve">P102</t>
  </si>
  <si>
    <t xml:space="preserve">SQ 843 – Homestead property tax phase-out</t>
  </si>
  <si>
    <t xml:space="preserve">Phase out ad valorem taxes on owner-occupied homesteads by 2029</t>
  </si>
  <si>
    <t xml:space="preserve">Statewide statutory initiative petition</t>
  </si>
  <si>
    <t xml:space="preserve">Sen. Shane Jett, Rep. Jay Steagall, former Rep. Mike Reynolds</t>
  </si>
  <si>
    <t xml:space="preserve">92,263</t>
  </si>
  <si>
    <t xml:space="preserve">n/a (petition struck down)</t>
  </si>
  <si>
    <t xml:space="preserve">Sen. Shane Jett</t>
  </si>
  <si>
    <t xml:space="preserve">Filed Jan 12, 2026. On Oct 7, 2026 the Oklahoma Supreme Court ruled it unconstitutional before circulation. Sponsors may refile a redrafted version; none was found.</t>
  </si>
  <si>
    <t xml:space="preserve">https://www.publicradiotulsa.org/local-regional/2026-10-07/oklahoma-supreme-court-declares-tax-property-state-question-unconstitutional</t>
  </si>
  <si>
    <t xml:space="preserve">P103</t>
  </si>
  <si>
    <t xml:space="preserve">Oregon</t>
  </si>
  <si>
    <t xml:space="preserve">2028 IP #34 - Prohibits political spending by artificial entities</t>
  </si>
  <si>
    <t xml:space="preserve">Constitutional measure to ban corporate political spending / dark money</t>
  </si>
  <si>
    <t xml:space="preserve">Initiative petition, constitutional amendment (Nov 7, 2028)</t>
  </si>
  <si>
    <t xml:space="preserve">Chief petitioners: Mark Kendall, Deborah Ferrer, Jason Kafoury</t>
  </si>
  <si>
    <t xml:space="preserve">1,000 sponsorship signatures to start ballot title; full count for constitutional measure = 8% of Nov 2026 governor votes (exact number unknown)</t>
  </si>
  <si>
    <t xml:space="preserve">Ballot title comments due 2026-10-28; signature deadline July 2028 (exact date unknown)</t>
  </si>
  <si>
    <t xml:space="preserve">Chief petitioners Mark Kendall, Deborah Ferrer, Jason Kafoury</t>
  </si>
  <si>
    <t xml:space="preserve">OR Elections Division 503-986-1518 / irrlistnotifier.sos@sos.oregon.gov (no campaign contact published)</t>
  </si>
  <si>
    <t xml:space="preserve">https://www.oregonvotes.gov/irr</t>
  </si>
  <si>
    <t xml:space="preserve">Filed 9/9/26. Prospective petition only; no evidence of paid circulation.</t>
  </si>
  <si>
    <t xml:space="preserve">https://content.govdelivery.com/accounts/ORSOS/bulletins/42f3440</t>
  </si>
  <si>
    <t xml:space="preserve">https://content.govdelivery.com/accounts/ORSOS/bulletins/42939f4</t>
  </si>
  <si>
    <t xml:space="preserve">P104</t>
  </si>
  <si>
    <t xml:space="preserve">2028 IP #25 - Right to hunt, fish, farm, trap, ranch, grow food</t>
  </si>
  <si>
    <t xml:space="preserve">Create a constitutional right to hunt, fish, farm, ranch, and harvest natural resources; limit regulation</t>
  </si>
  <si>
    <t xml:space="preserve">Chief petitioner: Kari Goodheart (Irrigon, OR)</t>
  </si>
  <si>
    <t xml:space="preserve">unknown (8% of Nov 2026 governor votes for constitutional measure)</t>
  </si>
  <si>
    <t xml:space="preserve">Draft ballot title comments were due 2026-09-11; qualification deadline unknown</t>
  </si>
  <si>
    <t xml:space="preserve">1,000+ sponsorship signatures verified (pre-circulation stage)</t>
  </si>
  <si>
    <t xml:space="preserve">Kari Goodheart (chief petitioner)</t>
  </si>
  <si>
    <t xml:space="preserve">OR Elections Division 503-986-1518 (no campaign contact published)</t>
  </si>
  <si>
    <t xml:space="preserve">At the ballot title stage (draft title received 8/26/26). Appears to be a counter to the failed 2026 hunting-ban IP 28. No paid circulation evidence.</t>
  </si>
  <si>
    <t xml:space="preserve">https://content.govdelivery.com/accounts/ORSOS/bulletins/425b67e</t>
  </si>
  <si>
    <t xml:space="preserve">https://content.govdelivery.com/accounts/ORSOS/bulletins/426f27a</t>
  </si>
  <si>
    <t xml:space="preserve">https://content.govdelivery.com/accounts/ORSOS/bulletins/41d6933</t>
  </si>
  <si>
    <t xml:space="preserve">P105</t>
  </si>
  <si>
    <t xml:space="preserve">2028 IP #29 - Oregon Crimefighting Act</t>
  </si>
  <si>
    <t xml:space="preserve">Criminal justice statute (details per petition text)</t>
  </si>
  <si>
    <t xml:space="preserve">Initiative statute</t>
  </si>
  <si>
    <t xml:space="preserve">Chief petitioners Kevin L. Mannix, Michael T. Sewell (Salem)</t>
  </si>
  <si>
    <t xml:space="preserve">July 2028 (exact date unknown)</t>
  </si>
  <si>
    <t xml:space="preserve">Kevin Mannix</t>
  </si>
  <si>
    <t xml:space="preserve">Oregon Elections Division 503-986-1518; irrlistnotifier.sos@sos.oregon.gov</t>
  </si>
  <si>
    <t xml:space="preserve">Filed Aug 10, 2026, at the sponsorship-signature stage. Mannix is a veteran OR initiative sponsor.</t>
  </si>
  <si>
    <t xml:space="preserve">https://content.govdelivery.com/accounts/ORSOS/bulletins/4245ab7</t>
  </si>
  <si>
    <t xml:space="preserve">P106</t>
  </si>
  <si>
    <t xml:space="preserve">2028 IP #32 - Just Cause, Due Process, Job Security</t>
  </si>
  <si>
    <t xml:space="preserve">Constitutional just-cause employment protections</t>
  </si>
  <si>
    <t xml:space="preserve">Chief petitioner Matthew Fennell (Lake Oswego)</t>
  </si>
  <si>
    <t xml:space="preserve">Matthew Fennell</t>
  </si>
  <si>
    <t xml:space="preserve">https://sos.oregon.gov/elections/pages/initiatives-referendums-referrals.aspx</t>
  </si>
  <si>
    <t xml:space="preserve">Filed Aug 10, 2026, at the sponsorship-signature stage. Across OR 2028 petitions, no paid-circulator registration or active paid circulation was verified.</t>
  </si>
  <si>
    <t xml:space="preserve">https://content.govdelivery.com/accounts/ORSOS/bulletins/42475be</t>
  </si>
  <si>
    <t xml:space="preserve">P107</t>
  </si>
  <si>
    <t xml:space="preserve">Financial Assets Tax on Multimillionaires (2028)</t>
  </si>
  <si>
    <t xml:space="preserve">Tax on financial assets of multimillionaires; projected net $1.5B per biennium, with a low-income tax credit</t>
  </si>
  <si>
    <t xml:space="preserve">Initiative petition (statutory or constitutional unknown), Nov 2028 ballot</t>
  </si>
  <si>
    <t xml:space="preserve">Fight For Our Future coalition (AFT Oregon, Oregon Education Association, SEIU Oregon State Council, AFSCME Oregon; For All Families Oregon Action quoted)</t>
  </si>
  <si>
    <t xml:space="preserve">1,000 sponsorship signatures first; then 6% of votes cast for governor in Nov 2026 (likely well over 100,000 per OPB)</t>
  </si>
  <si>
    <t xml:space="preserve">unknown (2028 qualification deadline is early July 2028)</t>
  </si>
  <si>
    <t xml:space="preserve">unknown (chief petitioners not named in coverage); Candice Williams (For All Families Oregon Action) and Enrique Farrera (OEA president) quoted</t>
  </si>
  <si>
    <t xml:space="preserve">Announced 10/8/26 and backed by major unions with large budgets. The strongest likely future paid drive in Oregon, but still at the sponsorship/ballot-title stage. Check OR SOS IRR for the IP number and ORESTAR for the committee.</t>
  </si>
  <si>
    <t xml:space="preserve">https://www.opb.org/article/2026/10/08/oregon-wealth-tax-2028-ballot/</t>
  </si>
  <si>
    <t xml:space="preserve">https://oregoncapitalchronicle.com/2026/10/08/progressive-groups-unions-announce-wealth-tax-initiative-aimed-at-2028-oregon-ballot/</t>
  </si>
  <si>
    <t xml:space="preserve">P108</t>
  </si>
  <si>
    <t xml:space="preserve">2026 IP 28 - PEACE Act (ban hunting/fishing/animal-injury exemptions)</t>
  </si>
  <si>
    <t xml:space="preserve">Criminalize hunting, fishing and intentional injury to animals by removing exemptions</t>
  </si>
  <si>
    <t xml:space="preserve">Initiative petition (2026)</t>
  </si>
  <si>
    <t xml:space="preserve">117,173 valid</t>
  </si>
  <si>
    <t xml:space="preserve">2026-07-02 (failed to qualify; announced 7/24/26)</t>
  </si>
  <si>
    <t xml:space="preserve">142,784 submitted; 104,262 valid</t>
  </si>
  <si>
    <t xml:space="preserve">Failed for lack of valid signatures (validity ~73%). Oregon has no citizen initiative on the Nov 2026 ballot, the first even year without one since 1966.</t>
  </si>
  <si>
    <t xml:space="preserve">https://news.ballotpedia.org/2026/07/27/2026-will-be-the-first-even-numbered-year-since-1966-without-an-initiative-on-the-general-election-ballot-in-oregon-after-an-initiative-to-ban-hunting-fails-to-qualify/</t>
  </si>
  <si>
    <t xml:space="preserve">https://www.nraila.org/articles/20260529/oregon-initiative-petition-28-threat-to-hunting-fishing-and-outdoor-heritage-one-step-closer-to-reality</t>
  </si>
  <si>
    <t xml:space="preserve">P109</t>
  </si>
  <si>
    <t xml:space="preserve">Referendum 120 - Transportation package (gas tax, payroll tax, registration fees)</t>
  </si>
  <si>
    <t xml:space="preserve">Refer the 2025 transportation funding law to voters</t>
  </si>
  <si>
    <t xml:space="preserve">Veto referendum</t>
  </si>
  <si>
    <t xml:space="preserve">Oregon Republicans / grassroots petition drive (exact committee unknown)</t>
  </si>
  <si>
    <t xml:space="preserve">Qualified; voted May 2026 primary (law repealed)</t>
  </si>
  <si>
    <t xml:space="preserve">Over 150,000 reported by Nov 2025</t>
  </si>
  <si>
    <t xml:space="preserve">Finished. Voters defeated the law in May 2026. Whether gatherers were paid was not checked.</t>
  </si>
  <si>
    <t xml:space="preserve">https://www.kptv.com/2025/11/26/over-150k-signatures-collected-put-oregon-transportation-bill-up-vote-group-says/</t>
  </si>
  <si>
    <t xml:space="preserve">P110</t>
  </si>
  <si>
    <t xml:space="preserve">Pennsylvania</t>
  </si>
  <si>
    <t xml:space="preserve">Luzerne and Lackawanna Counties</t>
  </si>
  <si>
    <t xml:space="preserve">Anti-insider-trading home rule charter amendments</t>
  </si>
  <si>
    <t xml:space="preserve">Bar county officials and employees from trading on nonpublic information; annual ethics reporting</t>
  </si>
  <si>
    <t xml:space="preserve">Citizen-initiated home rule charter amendment petition</t>
  </si>
  <si>
    <t xml:space="preserve">Action Together NEPA (Exec. Dir. Alisha Hoffman-Mirilovich) and Pennsylvania Accountability Fund</t>
  </si>
  <si>
    <t xml:space="preserve">Luzerne 11,615; Lackawanna 8,900</t>
  </si>
  <si>
    <t xml:space="preserve">Filed by Aug 4, 2026; on Nov 3, 2026 ballot</t>
  </si>
  <si>
    <t xml:space="preserve">Luzerne &gt;23,000; Lackawanna &gt;17,000</t>
  </si>
  <si>
    <t xml:space="preserve">Alisha Hoffman-Mirilovich, Action Together NEPA</t>
  </si>
  <si>
    <t xml:space="preserve">Collection is complete. Paid or volunteer gatherers not reported. A repeat sponsor of county charter petitions in PA, so a prospect for future work. No active or upcoming PA paid project was verified.</t>
  </si>
  <si>
    <t xml:space="preserve">https://www.timesleader.com/news/1745787/group-advocates-adding-insider-stock-trading-prohibition-to-luzerne-countys-home-rule-charter</t>
  </si>
  <si>
    <t xml:space="preserve">https://fox56.com/news/local/anti-insider-trading-petitions-get-over-40k-signatures-issue-moves-to-november-ballot</t>
  </si>
  <si>
    <t xml:space="preserve">P111</t>
  </si>
  <si>
    <t xml:space="preserve">Rhode Island</t>
  </si>
  <si>
    <t xml:space="preserve">Not researched: search budget exhausted. RI has no statewide citizen initiative, so look at municipal charter petitions and recalls. Needs a follow-up pass.</t>
  </si>
  <si>
    <t xml:space="preserve">P112</t>
  </si>
  <si>
    <t xml:space="preserve">South Carolina</t>
  </si>
  <si>
    <t xml:space="preserve">Ballot access (South Carolina has no statewide citizen initiative)</t>
  </si>
  <si>
    <t xml:space="preserve">Party 10,000; independent 10,000</t>
  </si>
  <si>
    <t xml:space="preserve">May 3, 2026 (party); July 15, 2026 (independent) – passed</t>
  </si>
  <si>
    <t xml:space="preserve">Checked Ballot Access News June 2026 only. Libertarian, Green, Constitution and Forward are already qualified. No verified paid activity.</t>
  </si>
  <si>
    <t xml:space="preserve">P113</t>
  </si>
  <si>
    <t xml:space="preserve">South Dakota</t>
  </si>
  <si>
    <t xml:space="preserve">Dakotans for Health – initiative-process protection measures</t>
  </si>
  <si>
    <t xml:space="preserve">(1) Require voter approval for legislative changes to initiative/referendum procedures; (2) for 7 years after passage, changes to voter-approved measures need a 3/4 legislative vote plus voter approval</t>
  </si>
  <si>
    <t xml:space="preserve">Statewide initiated measures / constitutional amendments</t>
  </si>
  <si>
    <t xml:space="preserve">Dakotans for Health (co-founder Rick Weiland); attorney Jim Leach</t>
  </si>
  <si>
    <t xml:space="preserve">unknown (not stated in the sources read)</t>
  </si>
  <si>
    <t xml:space="preserve">Disputed: SOS says May 5, 2026 passed with no citizen measures filed; the 8th Circuit struck the Feb deadline law Aug 11, 2026; AG Jackley is seeking rehearing en banc</t>
  </si>
  <si>
    <t xml:space="preserve">Rick Weiland</t>
  </si>
  <si>
    <t xml:space="preserve">Both measures were approved for circulation 3/27/2025. In May 2026 the group was still collecting signatures after the deadline, arguing there is no valid deadline. The legal status of the deadline is unresolved. Whether circulators are paid is not stated, and current circulation as of Oct 2026 is not confirmed. A strong 2028 prospect if the 2026 path closes.</t>
  </si>
  <si>
    <t xml:space="preserve">https://sdsos.gov/elections-voting/upcoming-elections/general-information/2026%20Election%20Information/2026-ballot-questions.aspx</t>
  </si>
  <si>
    <t xml:space="preserve">https://www.kotatv.com/2026/05/08/group-collecting-petition-signatures-post-deadline-using-court-decision-justification/</t>
  </si>
  <si>
    <t xml:space="preserve">https://www.dakotanewsnow.com/2026/08/12/legislature-handed-loss-after-circuit-court-deems-state-law-unconstitutional/</t>
  </si>
  <si>
    <t xml:space="preserve">P114</t>
  </si>
  <si>
    <t xml:space="preserve">South Dakotans for Fair Taxes – SB 245 referendum</t>
  </si>
  <si>
    <t xml:space="preserve">Refer SB 245 (Homeowner Property Tax Reduction Fund, sales-tax-for-property-tax swap) to voters</t>
  </si>
  <si>
    <t xml:space="preserve">Statewide referendum on a state law</t>
  </si>
  <si>
    <t xml:space="preserve">South Dakotans for Fair Taxes (Bread for the World SD, SD AFL-CIO, Dakota Rural Action)</t>
  </si>
  <si>
    <t xml:space="preserve">Just over 17,500</t>
  </si>
  <si>
    <t xml:space="preserve">June 29, 2026</t>
  </si>
  <si>
    <t xml:space="preserve">Fell short (count not reported)</t>
  </si>
  <si>
    <t xml:space="preserve">Petition approved 4/29/2026; failed June 29, 2026. The group says it will pursue the issue in the 2027 legislative session. Paid circulation was not mentioned.</t>
  </si>
  <si>
    <t xml:space="preserve">https://www.sdpb.org/politics/2026-06-29/group-fails-to-get-homeowner-property-tax-relief-law-on-november-ballot</t>
  </si>
  <si>
    <t xml:space="preserve">https://southdakotasearchlight.com/2026/04/30/opponents-seek-public-vote-on-sd-law-using-higher-sales-taxes-to-drop-property-taxes/</t>
  </si>
  <si>
    <t xml:space="preserve">P115</t>
  </si>
  <si>
    <t xml:space="preserve">Property tax replacement with 'retail transaction' tax</t>
  </si>
  <si>
    <t xml:space="preserve">Repeal real property taxes and replace them with a retail transaction tax</t>
  </si>
  <si>
    <t xml:space="preserve">Statewide initiated measure (2026 cycle)</t>
  </si>
  <si>
    <t xml:space="preserve">Mueller, Frye-Mueller, Smith (per SD SOS)</t>
  </si>
  <si>
    <t xml:space="preserve">May 5, 2026</t>
  </si>
  <si>
    <t xml:space="preserve">unknown (SOS reported no citizen measures submitted by May 5)</t>
  </si>
  <si>
    <t xml:space="preserve">Approved for circulation 11/3/2025. The SOS said no citizen-led measures were submitted by May 5, 2026. Property tax issues are likely to return for 2028. The SD SOS page lists no 2028 petitions yet.</t>
  </si>
  <si>
    <t xml:space="preserve">P116</t>
  </si>
  <si>
    <t xml:space="preserve">Tennessee</t>
  </si>
  <si>
    <t xml:space="preserve">Nashville (Metro Davidson County)</t>
  </si>
  <si>
    <t xml:space="preserve">Restore Our Fairgrounds racing-ban charter amendment / referendum</t>
  </si>
  <si>
    <t xml:space="preserve">Permanently ban auto racing at the Nashville Fairgrounds Speedway site, which blocks the NASCAR-backed speedway renovation. The job posting ties the campaign to affordable housing</t>
  </si>
  <si>
    <t xml:space="preserve">Metro charter amendment by citizen petition (referendum)</t>
  </si>
  <si>
    <t xml:space="preserve">Restore Our Fairgrounds coalition (co-founders Mike Kopp, Saul Solomon; representative John Spragens; drive managed with Stephen Lofton)</t>
  </si>
  <si>
    <t xml:space="preserve">40,194 (opponents argue about 47,000)</t>
  </si>
  <si>
    <t xml:space="preserve">Signatures submitted around Sep 18, 2026. Hearing on withdrawn signatures set for Oct 27, 2026. Election expected in 2027 (NewsChannel 5 says 'next summer'; exact date unknown)</t>
  </si>
  <si>
    <t xml:space="preserve">About 75,246 reviewed; 47,679 certified valid; 27,567 rejected</t>
  </si>
  <si>
    <t xml:space="preserve">$22/hr circulator, $24/hr team lead, up to $35/hr with bonuses, +$2/hr bilingual</t>
  </si>
  <si>
    <t xml:space="preserve">https://careers.arena.run/companies/the-outreach-team-2/jobs/86613658-petition-circulator-expand-affordable-housing</t>
  </si>
  <si>
    <t xml:space="preserve">unknown (group hired a slate of consultants per Axios)</t>
  </si>
  <si>
    <t xml:space="preserve">Mike Kopp / Saul Solomon (co-founders)</t>
  </si>
  <si>
    <t xml:space="preserve">The Outreach Team's posting dated Jul 17, 2026 names the Restore Our Fairgrounds referendum, so paid circulation is confirmed. Signature collection is over and the measure is certified, so the field phase has ended. The next phase is the 2027 election campaign plus litigation from opponents (Decline to Sign, NOTE, CARE; Holland &amp; Knight letter). Possible future work: GOTV and canvassing.</t>
  </si>
  <si>
    <t xml:space="preserve">https://www.newschannel5.com/news/newschannel-5-investigates/election-commission-approves-petition-to-put-fate-of-nashville-fairgrounds-speedway-on-ballot-next-summer</t>
  </si>
  <si>
    <t xml:space="preserve">https://fox17.com/news/local/nashville-election-commission-clears-fairgrounds-racing-referendum-for-2027-ballot</t>
  </si>
  <si>
    <t xml:space="preserve">https://www.axios.com/local/nashville/2026/09/18/embargo-organizers-turn-in-enough-signatures-to-put-fairgrounds-racing-ban-on-the-ballot</t>
  </si>
  <si>
    <t xml:space="preserve">P117</t>
  </si>
  <si>
    <t xml:space="preserve">Texas</t>
  </si>
  <si>
    <t xml:space="preserve">Dallas</t>
  </si>
  <si>
    <t xml:space="preserve">Save Dallas City Hall charter amendment petition</t>
  </si>
  <si>
    <t xml:space="preserve">Charter amendment naming 1500 Marilla as the seat of government and requiring an election before city operations leave City Hall</t>
  </si>
  <si>
    <t xml:space="preserve">City charter amendment petition (for a possible May 2027 ballot)</t>
  </si>
  <si>
    <t xml:space="preserve">Save Dallas City Hall Coalition (supporters include attorney Ben Abbott, McDermott and Jonsson family descendants)</t>
  </si>
  <si>
    <t xml:space="preserve">unknown (no firm named in sources; LMK Strategies connection not verified)</t>
  </si>
  <si>
    <t xml:space="preserve">20,000 valid Dallas registered voters</t>
  </si>
  <si>
    <t xml:space="preserve">Collection from Oct 2, 2026 to mid-January 2027 per D Magazine (Fox 4 cites a 60-day window); exact date unknown</t>
  </si>
  <si>
    <t xml:space="preserve">unknown (Fox 4 says backed by 'big donors')</t>
  </si>
  <si>
    <t xml:space="preserve">Save Dallas City Hall Coalition leadership (individual names unknown beyond backers listed)</t>
  </si>
  <si>
    <t xml:space="preserve">savedallascityhall.com</t>
  </si>
  <si>
    <t xml:space="preserve">Notice of intent filed and drive launched Oct 2, 2026, so it is active now. With donor backing and 20,000 signatures needed, it is a good candidate for paid circulators, but no paid hiring was found. D Magazine (Oct 20, 2026) lists 4 Dallas petition drives, but the page could not be fetched, so the other 3 are not recorded.</t>
  </si>
  <si>
    <t xml:space="preserve">https://www.dmagazine.com/micropost/save-dallas-city-hall-to-attempt-referendum/</t>
  </si>
  <si>
    <t xml:space="preserve">https://www.fox4news.com/news/dallas-city-hall-petition-drive-seeks-may-ballot-vote-save-iconic-building.amp</t>
  </si>
  <si>
    <t xml:space="preserve">https://www.dmagazine.com/micropost/save-dallas-city-hall-officially-launches-petition-drive-for-charter-amendment/</t>
  </si>
  <si>
    <t xml:space="preserve">https://fox4news.com/news/dallas-city-hall-petition-drive-seeks-may-ballot-vote-save-iconic-building</t>
  </si>
  <si>
    <t xml:space="preserve">P118</t>
  </si>
  <si>
    <t xml:space="preserve">San Angelo / Granbury / El Paso</t>
  </si>
  <si>
    <t xml:space="preserve">Data-center-related municipal recall petitions</t>
  </si>
  <si>
    <t xml:space="preserve">Recall council members over data center votes</t>
  </si>
  <si>
    <t xml:space="preserve">Local resident organizers (unnamed)</t>
  </si>
  <si>
    <t xml:space="preserve">El Paso District 4: 4,233; others unknown</t>
  </si>
  <si>
    <t xml:space="preserve">San Angelo D3 (Harry Thomas) recall election Nov 3, 2026; Granbury petitions in litigation; El Paso unknown</t>
  </si>
  <si>
    <t xml:space="preserve">Newsweek roundup: the San Angelo recall is on the Nov 3 ballot, Granbury is still being fought over (the city rejected petitions July 28 and then told an appeals court they would go to council), and El Paso D4 status was not stated. Temple failed. This points to a national trend of data-center recalls, a possible service niche.</t>
  </si>
  <si>
    <t xml:space="preserve">P119</t>
  </si>
  <si>
    <t xml:space="preserve">Austin</t>
  </si>
  <si>
    <t xml:space="preserve">Austin United PAC convention center charter amendment petition</t>
  </si>
  <si>
    <t xml:space="preserve">Force a public vote on the Austin convention center expansion</t>
  </si>
  <si>
    <t xml:space="preserve">City initiative/referendum petition</t>
  </si>
  <si>
    <t xml:space="preserve">Austin United PAC (attorneys Bill Bunch, Bobby Levinski)</t>
  </si>
  <si>
    <t xml:space="preserve">20,000 valid</t>
  </si>
  <si>
    <t xml:space="preserve">Missed the Feb 13, 2026 May-ballot cutoff</t>
  </si>
  <si>
    <t xml:space="preserve">20,000+ filed; clerk estimated 19,506 valid</t>
  </si>
  <si>
    <t xml:space="preserve">austinunitedpac.com</t>
  </si>
  <si>
    <t xml:space="preserve">The petition was rejected, and the district court upheld the rejection. In Feb 2026 the PAC said it was 'immediately organizing a new petition drive for a potential November election'. Whether that new drive happened is unknown. Austin thresholds: 20,000 for initiative, referendum or charter amendment.</t>
  </si>
  <si>
    <t xml:space="preserve">https://www.yahoo.com/news/articles/austin-pac-appeals-texas-supreme-025130188.html</t>
  </si>
  <si>
    <t xml:space="preserve">https://www.austintexas.gov/clerk/initiative-petitions</t>
  </si>
  <si>
    <t xml:space="preserve">https://www.kut.org/austin/2026-02-12/austin-tx-convention-center-expansion-lawsuit-texas-supreme-court</t>
  </si>
  <si>
    <t xml:space="preserve">https://communityimpact.com/austin/south-central-austin/government/2026/02/16/court-sides-with-austin-in-convention-center-petition-dispute-pac-to-push-for-november-election</t>
  </si>
  <si>
    <t xml:space="preserve">P120</t>
  </si>
  <si>
    <t xml:space="preserve">Utah</t>
  </si>
  <si>
    <t xml:space="preserve">Salt Lake County</t>
  </si>
  <si>
    <t xml:space="preserve">AX THE TAX - Salt Lake County property tax referendum</t>
  </si>
  <si>
    <t xml:space="preserve">Overturn the 14.65% county property-tax increase in the 2026 budget</t>
  </si>
  <si>
    <t xml:space="preserve">County referendum</t>
  </si>
  <si>
    <t xml:space="preserve">AX THE TAX residents' group led by Goud Maragani (with Phil Lyman helping)</t>
  </si>
  <si>
    <t xml:space="preserve">About 45,000 valid within 45 days</t>
  </si>
  <si>
    <t xml:space="preserve">Failed; confirmed Feb 13, 2026</t>
  </si>
  <si>
    <t xml:space="preserve">13,477 submitted; 6,311 verified</t>
  </si>
  <si>
    <t xml:space="preserve">Goud Maragani</t>
  </si>
  <si>
    <t xml:space="preserve">https://vote.utah.gov/local-referendum-salt-lake-county-salt-lake-county-property-tax-referendum/</t>
  </si>
  <si>
    <t xml:space="preserve">This volunteer-style drive failed badly. That is useful as a pitch case: a county referendum with a 45-day window likely needs paid field operations.</t>
  </si>
  <si>
    <t xml:space="preserve">https://www.sltrib.com/news/2025/12/16/salt-lake-county-residents-hope/</t>
  </si>
  <si>
    <t xml:space="preserve">https://hoodline.com/2026/02/salt-lake-county-tax-revolt-stalls-organizers-plot-next-move/</t>
  </si>
  <si>
    <t xml:space="preserve">P121</t>
  </si>
  <si>
    <t xml:space="preserve">H.B. 267 Public Sector Labor Union Amendments Referendum</t>
  </si>
  <si>
    <t xml:space="preserve">Repeal the 2025 ban on public-sector collective bargaining</t>
  </si>
  <si>
    <t xml:space="preserve">Protect Utah Workers (public-sector labor unions)</t>
  </si>
  <si>
    <t xml:space="preserve">Filed 03.08.2025; qualified, but the Legislature then repealed the bill, so it is off the 2026 ballot</t>
  </si>
  <si>
    <t xml:space="preserve">Over 320,000 gathered (per Axios)</t>
  </si>
  <si>
    <t xml:space="preserve">This 2025 drive is finished. It shows Utah unions can field a large referendum within about 30 days. Paid share unknown.</t>
  </si>
  <si>
    <t xml:space="preserve">https://vote.utah.gov/initiatives-and-referenda</t>
  </si>
  <si>
    <t xml:space="preserve">https://www.axios.com/local/salt-lake-city/2025/04/16/utah-labor-unions-signatures-collective-bargaining-ban</t>
  </si>
  <si>
    <t xml:space="preserve">https://news.ballotpedia.org/2025/04/16/protect-utah-workers-submits-signatures-to-the-secretary-of-state-for-veto-referendum/</t>
  </si>
  <si>
    <t xml:space="preserve">P122</t>
  </si>
  <si>
    <t xml:space="preserve">Repeal of Independent Redistricting Commission and Standards Act (direct initiative)</t>
  </si>
  <si>
    <t xml:space="preserve">Repeal Prop 4 (2018) anti-gerrymandering law and undo the court-imposed congressional map</t>
  </si>
  <si>
    <t xml:space="preserve">Statewide direct initiative</t>
  </si>
  <si>
    <t xml:space="preserve">Utahns for Representative Government (GOP-aligned; announced by Utah GOP chair Robert Axson)</t>
  </si>
  <si>
    <t xml:space="preserve">About 141,000 (8% of active voters) plus thresholds in 26 of 29 Senate districts</t>
  </si>
  <si>
    <t xml:space="preserve">Packets due Feb 15, 2026; final determination: Insufficient</t>
  </si>
  <si>
    <t xml:space="preserve">Sponsor claimed 'well over' 200,000; ruled insufficient</t>
  </si>
  <si>
    <t xml:space="preserve">A 200K-signature drive in about 4 months suggests paid circulation, but no firm or payment was found. Lt. Governor's list shows it insufficient.</t>
  </si>
  <si>
    <t xml:space="preserve">https://www.axios.com/local/salt-lake-city/2026/02/17/utah-redistricting-signature-ballot-gop-republican-2026</t>
  </si>
  <si>
    <t xml:space="preserve">P123</t>
  </si>
  <si>
    <t xml:space="preserve">Ogden, Provo, Salt Lake City</t>
  </si>
  <si>
    <t xml:space="preserve">Landslide Political - candidate signature gathering and canvassing (Utah)</t>
  </si>
  <si>
    <t xml:space="preserve">Collect signatures to put 2026 candidates on the ballot, plus canvassing</t>
  </si>
  <si>
    <t xml:space="preserve">Unnamed 2026 candidates (Democratic and Republican)</t>
  </si>
  <si>
    <t xml:space="preserve">https://landslidepolitical.recruitee.com/o/canvasser-ogden-ut-25hr</t>
  </si>
  <si>
    <t xml:space="preserve">The postings are undated and refer to the 2026 cycle, so they are treated as expired. They confirm Landslide pays $25/hr in Utah for signature work.</t>
  </si>
  <si>
    <t xml:space="preserve">https://landslidepolitical.recruitee.com/o/canvasser-provo-ut-25hr?lang=en</t>
  </si>
  <si>
    <t xml:space="preserve">https://careers.arena.run/companies/landslide-political-2/jobs/65127463-canvasser-salt-lake-city-ut-25-hr</t>
  </si>
  <si>
    <t xml:space="preserve">P124</t>
  </si>
  <si>
    <t xml:space="preserve">Vermont</t>
  </si>
  <si>
    <t xml:space="preserve">Not researched: search budget exhausted. Vermont has no statewide citizen initiative. Town Meeting Day (March 2027) petitioned articles are the likely local market. Needs a follow-up pass.</t>
  </si>
  <si>
    <t xml:space="preserve">P125</t>
  </si>
  <si>
    <t xml:space="preserve">Virginia</t>
  </si>
  <si>
    <t xml:space="preserve">Ballot access (Virginia has no statewide citizen initiative)</t>
  </si>
  <si>
    <t xml:space="preserve">Statewide independent 10,000; U.S. House 1,000</t>
  </si>
  <si>
    <t xml:space="preserve">June 16, 2026 (statewide); Aug 4, 2026 (U.S. House, 2026 only) – passed</t>
  </si>
  <si>
    <t xml:space="preserve">Checked Ballot Access News June 2026 only. Virginia holds November 2027 state legislative elections, where independent/minor-party candidate petitions could arise, but none was verified. Local referendum petitions were not searched because the search budget ran out.</t>
  </si>
  <si>
    <t xml:space="preserve">P126</t>
  </si>
  <si>
    <t xml:space="preserve">Washington</t>
  </si>
  <si>
    <t xml:space="preserve">Whole Washington universal healthcare initiative (2028)</t>
  </si>
  <si>
    <t xml:space="preserve">Universal healthcare for Washington</t>
  </si>
  <si>
    <t xml:space="preserve">Initiative to the Legislature preferred (Initiative to the People also possible), aimed at 2028</t>
  </si>
  <si>
    <t xml:space="preserve">Whole Washington</t>
  </si>
  <si>
    <t xml:space="preserve">None (volunteer gatherers)</t>
  </si>
  <si>
    <t xml:space="preserve">308,912 valid (group recommends ~386,000 raw)</t>
  </si>
  <si>
    <t xml:space="preserve">unknown (late December for an IL or July for an IP; specific 2028 date not stated)</t>
  </si>
  <si>
    <t xml:space="preserve">Not yet gathering</t>
  </si>
  <si>
    <t xml:space="preserve">N/A - volunteer</t>
  </si>
  <si>
    <t xml:space="preserve">info@wholewashington.org; press@wholewashington.org; (971) 716-1865; PO Box 27113, Seattle, WA 98165</t>
  </si>
  <si>
    <t xml:space="preserve">https://wholewashington.org/initiative/</t>
  </si>
  <si>
    <t xml:space="preserve">Volunteer-based and not yet gathering. A possible client for paid-circulation or feasibility services, not a current paid job.</t>
  </si>
  <si>
    <t xml:space="preserve">P127</t>
  </si>
  <si>
    <t xml:space="preserve">IL26-001 Restore 2024 Parents' Bill of Rights</t>
  </si>
  <si>
    <t xml:space="preserve">Restore parts of the 2024 Parents' Bill of Rights (I-2081) rolled back by HB 1296</t>
  </si>
  <si>
    <t xml:space="preserve">Initiative to the Legislature (2026)</t>
  </si>
  <si>
    <t xml:space="preserve">Let's Go Washington (signature collection)</t>
  </si>
  <si>
    <t xml:space="preserve">unknown (paid petitioners reported working for Let's Go Washington)</t>
  </si>
  <si>
    <t xml:space="preserve">308,911 valid</t>
  </si>
  <si>
    <t xml:space="preserve">2026-01-02 (submitted)</t>
  </si>
  <si>
    <t xml:space="preserve">Brian Heywood (Let's Go Washington founder)</t>
  </si>
  <si>
    <t xml:space="preserve">KOMO (11/22/25) interviewed a paid petitioner working for Let's Go Washington. Signatures filed Jan 2026; measure has a 2026 voter guide entry. Finished. Let's Go Washington is the dominant paid-signature buyer in WA.</t>
  </si>
  <si>
    <t xml:space="preserve">https://www.komonews.com/news/local/lets-go-washington-girls-sports-fairness-democratic-process-governer-ferguson-what-is-an-initiative-to-the-legislature-and-how-many-are-in-the-works-right-now</t>
  </si>
  <si>
    <t xml:space="preserve">https://washingtonstatestandard.com/voter-guides/ballot-measures/to-restore-the-2024-parents-bill-of-rights-initiative-001/</t>
  </si>
  <si>
    <t xml:space="preserve">P128</t>
  </si>
  <si>
    <t xml:space="preserve">IL26-638 Protecting Fairness in Girls' Sports</t>
  </si>
  <si>
    <t xml:space="preserve">Bar transgender girls from girls' school sports teams; sex verification requirement</t>
  </si>
  <si>
    <t xml:space="preserve">Same paid drive as IL26-001; signatures filed early Jan 2026. Finished.</t>
  </si>
  <si>
    <t xml:space="preserve">https://en.wikipedia.org/wiki/2026_Washington_Initiative_IL26-638</t>
  </si>
  <si>
    <t xml:space="preserve">P129</t>
  </si>
  <si>
    <t xml:space="preserve">IP26-500 Proof of citizenship to register to vote (refiled from IL26-126)</t>
  </si>
  <si>
    <t xml:space="preserve">Require documentary proof of U.S. citizenship for voter registration</t>
  </si>
  <si>
    <t xml:space="preserve">Initiative to the People</t>
  </si>
  <si>
    <t xml:space="preserve">Rep. Jim Walsh (WA GOP chair)</t>
  </si>
  <si>
    <t xml:space="preserve">2026-07-02</t>
  </si>
  <si>
    <t xml:space="preserve">unknown (predecessor IL26-126 fell short at the Jan 2, 2026 deadline)</t>
  </si>
  <si>
    <t xml:space="preserve">Jim Walsh</t>
  </si>
  <si>
    <t xml:space="preserve">IL26-126 failed to qualify in January 2026 and was refiled as IP26-500. Its circulation window has closed. Whether it qualified was not verified. A sponsor who failed twice may try again as an initiative to the 2027 Legislature, but no such filing was found.</t>
  </si>
  <si>
    <t xml:space="preserve">https://lwvwa.org/IP26-500</t>
  </si>
  <si>
    <t xml:space="preserve">https://bcrpwa.com/?p=2259</t>
  </si>
  <si>
    <t xml:space="preserve">https://washingtonstatestandard.com/2025/07/14/this-measure-would-make-wa-residents-prove-they-are-citizens-when-they-register-to-vote/</t>
  </si>
  <si>
    <t xml:space="preserve">P130</t>
  </si>
  <si>
    <t xml:space="preserve">Repeal of 'millionaires tax' / state income tax (SB 6346) - Initiative 645</t>
  </si>
  <si>
    <t xml:space="preserve">Repeal Washington's 9.9% tax on high incomes (SB 6346)</t>
  </si>
  <si>
    <t xml:space="preserve">Initiative to the People (Nov 2026 ballot)</t>
  </si>
  <si>
    <t xml:space="preserve">Let's Go Washington (Brian Heywood)</t>
  </si>
  <si>
    <t xml:space="preserve">308,911 valid (KOMO cited ~325,000 earlier)</t>
  </si>
  <si>
    <t xml:space="preserve">2026-07-02 (passed)</t>
  </si>
  <si>
    <t xml:space="preserve">More than 165,000 as of June 4, 2026 (goal 700,000); final count unknown</t>
  </si>
  <si>
    <t xml:space="preserve">Brian Heywood (founder, Let's Go Washington)</t>
  </si>
  <si>
    <t xml:space="preserve">Made the 2026 ballot as I-645 (WA State Standard voter guide). Whether gatherers were paid is not stated in the sources reviewed; check WA PDC filings for Let's Go Washington.</t>
  </si>
  <si>
    <t xml:space="preserve">https://mynorthwest.com/john-curley/millionaires-tax-signatures/4244972</t>
  </si>
  <si>
    <t xml:space="preserve">https://komonews.com/news/local/initiative-campaign-launches-to-repeal-washington-millionaires-tax-governor-bob-ferguson-attorney-generals-office-collecting-signatures-washington-constitution-99-tax</t>
  </si>
  <si>
    <t xml:space="preserve">https://washingtonstatestandard.com/voter-guides/ballot-measures/to-repeal-the-states-income-tax/</t>
  </si>
  <si>
    <t xml:space="preserve">P131</t>
  </si>
  <si>
    <t xml:space="preserve">Let's Go Washington - signature firm spending benchmark (Allstate Petition Management)</t>
  </si>
  <si>
    <t xml:space="preserve">Benchmark for paid-firm costs on WA initiatives to the Legislature (2023 six-initiative drive)</t>
  </si>
  <si>
    <t xml:space="preserve">Initiative to the Legislature</t>
  </si>
  <si>
    <t xml:space="preserve">Allstate Petition Management (APM), plus a second unnamed firm</t>
  </si>
  <si>
    <t xml:space="preserve">Completed (2023-24 cycle)</t>
  </si>
  <si>
    <t xml:space="preserve">$1.9 million reported paid to APM (per PDC charges reported Sept 2024)</t>
  </si>
  <si>
    <t xml:space="preserve">Brian Heywood</t>
  </si>
  <si>
    <t xml:space="preserve">In 2024, PDC staff charged LGW with inaccurate and late reporting of signature-gathering spending and with failing to collect vendor subcontractor spending information. LGW reported $1.9M paid to APM for six 2023 initiatives (three were adopted by the Legislature). This is historical, but it shows LGW pays a firm and what that costs. No 2026-cycle PDC firm payments were verified in this pass.</t>
  </si>
  <si>
    <t xml:space="preserve">https://mynorthwest.com/?p=3989585</t>
  </si>
  <si>
    <t xml:space="preserve">P132</t>
  </si>
  <si>
    <t xml:space="preserve">West Virginia</t>
  </si>
  <si>
    <t xml:space="preserve">Ballot access (West Virginia has no statewide citizen initiative)</t>
  </si>
  <si>
    <t xml:space="preserve">Independent 7,478; party: no procedure</t>
  </si>
  <si>
    <t xml:space="preserve">Aug 3, 2026 (passed)</t>
  </si>
  <si>
    <t xml:space="preserve">Checked Ballot Access News June 2026 only. No verified paid activity.</t>
  </si>
  <si>
    <t xml:space="preserve">P133</t>
  </si>
  <si>
    <t xml:space="preserve">Wisconsin</t>
  </si>
  <si>
    <t xml:space="preserve">Winneconne (Winnebago County)</t>
  </si>
  <si>
    <t xml:space="preserve">Winneconne Community School District board recall</t>
  </si>
  <si>
    <t xml:space="preserve">Recall Board President Kati Calewarts and VP Dean Ackmann</t>
  </si>
  <si>
    <t xml:space="preserve">School board recall</t>
  </si>
  <si>
    <t xml:space="preserve">Resident organizers incl. Martin Brethouwer</t>
  </si>
  <si>
    <t xml:space="preserve">Appeal to Wisconsin Elections Commission pending (filed about mid-Oct 2026)</t>
  </si>
  <si>
    <t xml:space="preserve">4,600+ (rejected by clerk Kari Flagg for missing registration/intent filings)</t>
  </si>
  <si>
    <t xml:space="preserve">Martin Brethouwer</t>
  </si>
  <si>
    <t xml:space="preserve">Signatures were thrown out over a procedural filing error, which is exactly the compliance gap a professional firm sells against. The Port Washington mayor recall (data center) failed to submit its 1,591 signatures.</t>
  </si>
  <si>
    <t xml:space="preserve">https://www.wpr.org/news/winneconne-school-board-recall-petition-rejected-organizers-filing-appeal-with-wec</t>
  </si>
  <si>
    <t xml:space="preserve">P134</t>
  </si>
  <si>
    <t xml:space="preserve">Wyoming</t>
  </si>
  <si>
    <t xml:space="preserve">People's Initiative to Limit Property Tax through a Homeowner's Property Exemption</t>
  </si>
  <si>
    <t xml:space="preserve">Homeowner property-tax exemption / limits</t>
  </si>
  <si>
    <t xml:space="preserve">Statewide initiative</t>
  </si>
  <si>
    <t xml:space="preserve">Committee including Brent Bien</t>
  </si>
  <si>
    <t xml:space="preserve">Certified for the 2026 General Election ballot</t>
  </si>
  <si>
    <t xml:space="preserve">Brent Bien (committee member)</t>
  </si>
  <si>
    <t xml:space="preserve">https://sos.wyo.gov/Elections/InitiativeReferendumInfo.aspx</t>
  </si>
  <si>
    <t xml:space="preserve">The only Wyoming initiative listed by the SOS. Paid or volunteer status is unknown.</t>
  </si>
  <si>
    <t xml:space="preserve">https://goconow.com/secretary-of-state-certifies-initiative-to-provide-property-tax-limits-for-2026-election-ballot/</t>
  </si>
  <si>
    <t xml:space="preserve">Ranked Opportunities — live and near-live projects</t>
  </si>
  <si>
    <t xml:space="preserve">Each project gets 0–5 points on the five ranking rules. Total is a formula. Scoring: Hiring = 5 with a live job link, 2 if a firm is named. Pay = 5 if a dollar rate is published. Urgency = 5 if deadline ≤45 days, 4 ≤90, 3 ≤180, 2 ≤400, 1 unknown. Scale = signatures required (5 ≥300k, 4 ≥70k, 3 statewide/≥20k, 2 local, 1 unknown). Evidence = 5 confirmed, 4 strong, 2 unconfirmed, 1 upcoming.</t>
  </si>
  <si>
    <t xml:space="preserve">Rank</t>
  </si>
  <si>
    <t xml:space="preserve">Hiring</t>
  </si>
  <si>
    <t xml:space="preserve">Pay</t>
  </si>
  <si>
    <t xml:space="preserve">Urgency</t>
  </si>
  <si>
    <t xml:space="preserve">Scale</t>
  </si>
  <si>
    <t xml:space="preserve">Evidence</t>
  </si>
  <si>
    <t xml:space="preserve">TOTAL (0–25)</t>
  </si>
  <si>
    <t xml:space="preserve">Why it matters</t>
  </si>
  <si>
    <t xml:space="preserve">Abbr</t>
  </si>
  <si>
    <t xml:space="preserve">Total Records</t>
  </si>
  <si>
    <t xml:space="preserve">Live (first 4)</t>
  </si>
  <si>
    <t xml:space="preserve">Coverage Note</t>
  </si>
  <si>
    <t xml:space="preserve">AL</t>
  </si>
  <si>
    <t xml:space="preserve">AK</t>
  </si>
  <si>
    <t xml:space="preserve">AZ</t>
  </si>
  <si>
    <t xml:space="preserve">AR</t>
  </si>
  <si>
    <t xml:space="preserve">CA</t>
  </si>
  <si>
    <t xml:space="preserve">CO</t>
  </si>
  <si>
    <t xml:space="preserve">CT</t>
  </si>
  <si>
    <t xml:space="preserve">DE</t>
  </si>
  <si>
    <t xml:space="preserve">DC</t>
  </si>
  <si>
    <t xml:space="preserve">FL</t>
  </si>
  <si>
    <t xml:space="preserve">GA</t>
  </si>
  <si>
    <t xml:space="preserve">HI</t>
  </si>
  <si>
    <t xml:space="preserve">IL</t>
  </si>
  <si>
    <t xml:space="preserve">IN</t>
  </si>
  <si>
    <t xml:space="preserve">IA</t>
  </si>
  <si>
    <t xml:space="preserve">KS</t>
  </si>
  <si>
    <t xml:space="preserve">KY</t>
  </si>
  <si>
    <t xml:space="preserve">LA</t>
  </si>
  <si>
    <t xml:space="preserve">ME</t>
  </si>
  <si>
    <t xml:space="preserve">MD</t>
  </si>
  <si>
    <t xml:space="preserve">MA</t>
  </si>
  <si>
    <t xml:space="preserve">MI</t>
  </si>
  <si>
    <t xml:space="preserve">MN</t>
  </si>
  <si>
    <t xml:space="preserve">MS</t>
  </si>
  <si>
    <t xml:space="preserve">MO</t>
  </si>
  <si>
    <t xml:space="preserve">MT</t>
  </si>
  <si>
    <t xml:space="preserve">NE</t>
  </si>
  <si>
    <t xml:space="preserve">NV</t>
  </si>
  <si>
    <t xml:space="preserve">NH</t>
  </si>
  <si>
    <t xml:space="preserve">NJ</t>
  </si>
  <si>
    <t xml:space="preserve">NM</t>
  </si>
  <si>
    <t xml:space="preserve">NY</t>
  </si>
  <si>
    <t xml:space="preserve">NC</t>
  </si>
  <si>
    <t xml:space="preserve">ND</t>
  </si>
  <si>
    <t xml:space="preserve">OH</t>
  </si>
  <si>
    <t xml:space="preserve">OK</t>
  </si>
  <si>
    <t xml:space="preserve">OR</t>
  </si>
  <si>
    <t xml:space="preserve">PA</t>
  </si>
  <si>
    <t xml:space="preserve">RI</t>
  </si>
  <si>
    <t xml:space="preserve">SC</t>
  </si>
  <si>
    <t xml:space="preserve">SD</t>
  </si>
  <si>
    <t xml:space="preserve">TN</t>
  </si>
  <si>
    <t xml:space="preserve">TX</t>
  </si>
  <si>
    <t xml:space="preserve">UT</t>
  </si>
  <si>
    <t xml:space="preserve">VT</t>
  </si>
  <si>
    <t xml:space="preserve">VA</t>
  </si>
  <si>
    <t xml:space="preserve">WA</t>
  </si>
  <si>
    <t xml:space="preserve">WV</t>
  </si>
  <si>
    <t xml:space="preserve">WI</t>
  </si>
  <si>
    <t xml:space="preserve">WY</t>
  </si>
  <si>
    <t xml:space="preserve">TOTAL</t>
  </si>
  <si>
    <t xml:space="preserve">Firm</t>
  </si>
  <si>
    <t xml:space="preserve">HQ</t>
  </si>
  <si>
    <t xml:space="preserve">States Seen</t>
  </si>
  <si>
    <t xml:space="preserve">Known Campaigns (2026)</t>
  </si>
  <si>
    <t xml:space="preserve">Projects in Database</t>
  </si>
  <si>
    <t xml:space="preserve">Recruiting Link</t>
  </si>
  <si>
    <t xml:space="preserve">Stated Pay</t>
  </si>
  <si>
    <t xml:space="preserve">Notes</t>
  </si>
  <si>
    <t xml:space="preserve">Sources</t>
  </si>
  <si>
    <t xml:space="preserve">Advanced Micro Targeting</t>
  </si>
  <si>
    <t xml:space="preserve">Dallas, TX (per Missouri Independent; not explicitly called HQ)</t>
  </si>
  <si>
    <t xml:space="preserve">2024: NV, AZ, AK, OH, MO, MT (Ballotpedia); 2025: MO (congressional-map referendum)</t>
  </si>
  <si>
    <t xml:space="preserve">Missouri referendum on the 2025 congressional map (paid $1.1M through Sept 30, 2025); 2024: Make Elections Fair Arizona</t>
  </si>
  <si>
    <t xml:space="preserve">unknown (ZipRecruiter results for the name returned AMD listings)</t>
  </si>
  <si>
    <t xml:space="preserve">2024 Arizona gatherer said 'I'm making $29 an hour' (KJZZ)</t>
  </si>
  <si>
    <t xml:space="preserve">Founder/president Billy Rogers; founded 2007. Paid $1.1M through Sept 30 2025 by People Not Politicians (MO congressional-map referendum); worked 2024 MO abortion-rights and minimum-wage drives. Sued four firms in Nov 2025 alleging poaching of 28 employees.</t>
  </si>
  <si>
    <t xml:space="preserve">https://ballotpedia.org/Grassroots; https://missouriindependent.com/2025/11/21/lawsuit-details-alleged-scheme-to-sabotage-referendum-on-gerrymandered-missouri-congressional-map/; https://kjzz.org/content/1875898/meet-people-doing-hard-expensive-work-gathering-signatures-az-ballot-initiatives</t>
  </si>
  <si>
    <t xml:space="preserve">Arno Petition Consultants</t>
  </si>
  <si>
    <t xml:space="preserve">unknown (916 area code = Sacramento region, CA)</t>
  </si>
  <si>
    <t xml:space="preserve">https://apcusa.com</t>
  </si>
  <si>
    <t xml:space="preserve">916-707-7127; info@apcusa.com</t>
  </si>
  <si>
    <t xml:space="preserve">Services: initiative &amp; referenda management, local initiatives, ballot access, grassroots, GOTV.</t>
  </si>
  <si>
    <t xml:space="preserve">https://apcusa.com/</t>
  </si>
  <si>
    <t xml:space="preserve">Blitz Canvassing</t>
  </si>
  <si>
    <t xml:space="preserve">10065 E Harvard Ave, Suite 400, Denver, CO 80231</t>
  </si>
  <si>
    <t xml:space="preserve">unknown (email domain blitzcanvassing.com)</t>
  </si>
  <si>
    <t xml:space="preserve">(303) 916-2345; info@blitzcanvassing.com; designated agent Jake Zambrano</t>
  </si>
  <si>
    <t xml:space="preserve">2024: CO, MO; Colorado-licensed petition entity (#2025007)</t>
  </si>
  <si>
    <t xml:space="preserve">Colorado petition entity license #2025007 (filed 11/13/2025); circulating CO petitions #175, #234, #362, #302, #256.</t>
  </si>
  <si>
    <t xml:space="preserve">https://ballotpedia.org/Grassroots; https://www.coloradosos.gov/pubs/elections/petitionEntities/licensees.html; https://www.coloradosos.gov/pubs/elections/petitionEntities/licenses/2025007BlitzCanvassing.pdf; https://coloradosos.gov/pubs/elections/petitionEntities/licensees.html</t>
  </si>
  <si>
    <t xml:space="preserve">Campaign &amp; Petition Management LLC</t>
  </si>
  <si>
    <t xml:space="preserve">2719 Sage St, Colorado Springs, CO 80907</t>
  </si>
  <si>
    <t xml:space="preserve">unknown (email domain campaignpetitionmanagement.com)</t>
  </si>
  <si>
    <t xml:space="preserve">(720) 299-9088; bryan@campaignpetitionmanagement.com; designated agent Bryan Crumpton</t>
  </si>
  <si>
    <t xml:space="preserve">MI; CO (licensed #2026008)</t>
  </si>
  <si>
    <t xml:space="preserve">Americans for Citizen Voting (Michigan proof-of-citizenship amendment): paid nearly $3M for 'petition management'</t>
  </si>
  <si>
    <t xml:space="preserve">CO license #2026008 (filed 01/31/2026); circulating CO petitions #175, #177, #232.</t>
  </si>
  <si>
    <t xml:space="preserve">https://michiganadvance.com/2026/01/21/voters-say-signature-gatherers-often-misrepresent-what-proposals-will-do-nothing-has-changed/; https://www.coloradosos.gov/pubs/elections/petitionEntities/licensees.html; https://www.coloradosos.gov/pubs/elections/petitionEntities/licenses/2026008CampaignPetitionManagementLLC.pdf</t>
  </si>
  <si>
    <t xml:space="preserve">Fair Election Fund</t>
  </si>
  <si>
    <t xml:space="preserve">No verifiable petition-firm information found.</t>
  </si>
  <si>
    <t xml:space="preserve">FieldWorks LLC</t>
  </si>
  <si>
    <t xml:space="preserve">1629 K St NW, Suite 300, Washington, DC 20006</t>
  </si>
  <si>
    <t xml:space="preserve">https://fieldworks.com/</t>
  </si>
  <si>
    <t xml:space="preserve">(202) 667-4400; contact form at https://fieldworks.com/contact-us</t>
  </si>
  <si>
    <t xml:space="preserve">2024: CO, NE, AZ, MO (Ballotpedia)</t>
  </si>
  <si>
    <t xml:space="preserve">unknown - the site names no current client campaigns</t>
  </si>
  <si>
    <t xml:space="preserve">https://fieldworks.com/jobs/ ; canvassers/petitioners: https://fieldworks.com/canvassers/ ; directors: https://fieldworks.com/directors/ ; invite-only 'Petition DTS Travel Crew': https://fieldworks.com/?p=5722</t>
  </si>
  <si>
    <t xml:space="preserve">Petition DTS Travel Crew: $24/hr, 8-hr shifts, 7 days a week, travel covered, Nov 25 - Dec 4 (state not named, invite-only for former staff, call or text (771) 213-6692). The general jobs page states no pay.</t>
  </si>
  <si>
    <t xml:space="preserve">Founded 2001 in DC by Laurie Moskowitz and Susan Blad Seldin. Ballotpedia: 6 initiatives in 2024 at an average of $19.01 cost per required signature (CPRS). Across 32 ballot measures from 2016-2022, committees paid FieldWorks $58.0M. The Nov 25 - Dec 4 travel crew suggests a late-2026 signature push somewhere; the timing fits a Washington initiative to the legislature, but that is unconfirmed.</t>
  </si>
  <si>
    <t xml:space="preserve">https://fieldworks.com/; https://fieldworks.com/jobs/; https://fieldworks.com/?p=5722; https://ballotpedia.org/Grassroots; https://ballotpedia.org/Fieldworks</t>
  </si>
  <si>
    <t xml:space="preserve">Salt Lake City, UT</t>
  </si>
  <si>
    <t xml:space="preserve">landslidepolitical.com</t>
  </si>
  <si>
    <t xml:space="preserve">2024: MT, NE; UT (current Indeed canvasser listing)</t>
  </si>
  <si>
    <t xml:space="preserve">https://www.indeed.com/viewjob?jk=7ea42208bd574788</t>
  </si>
  <si>
    <t xml:space="preserve">$25/hr (Canvasser, Salt Lake City, UT; the listing text does not mention petitions)</t>
  </si>
  <si>
    <t xml:space="preserve">Founded 2016 as Grassroots Utah Strategies, renamed 2019; operates in 8 states; minority/LGBTQ+ owned. Sued a reproductive-rights group (Nebraska coverage) over unpaid ~$400K in July 2025.</t>
  </si>
  <si>
    <t xml:space="preserve">https://ballotpedia.org/Grassroots; https://www.indeed.com/q-signature-gatherer-jobs.html; https://careers.arena.run/companies/landslide-political-2; https://www.1011now.com/2025/07/21/signature-firm-sues-reproductive-rights-group-over-unpaid-400k/</t>
  </si>
  <si>
    <t xml:space="preserve">Let the Voters Decide (LTVD)</t>
  </si>
  <si>
    <t xml:space="preserve">Florida (described as 'Florida-based', city unknown)</t>
  </si>
  <si>
    <t xml:space="preserve">unknown (spokesman David Leibowitz, 2022)</t>
  </si>
  <si>
    <t xml:space="preserve">MO (2025, named as a defendant); 2020 activity listed by Ballotpedia</t>
  </si>
  <si>
    <t xml:space="preserve">Sued the Gascon recall committee (Los Angeles) in 2022.</t>
  </si>
  <si>
    <t xml:space="preserve">https://missouriindependent.com/2025/11/21/lawsuit-details-alleged-scheme-to-sabotage-referendum-on-gerrymandered-missouri-congressional-map/; https://ballotpedia.org/Grassroots; https://spectrumnews1.com/ca/la-west/politics/2022/07/25/petition-signature-collecting-company-lawsuit-recall-gascon</t>
  </si>
  <si>
    <t xml:space="preserve">LMK Strategies</t>
  </si>
  <si>
    <t xml:space="preserve">unknown (Dallas; D Magazine listed 4 active Dallas petition drives in Oct 2026, but that page could not be fetched)</t>
  </si>
  <si>
    <t xml:space="preserve">https://www.ziprecruiter.com/c/LMK-Strategies/Job/Signature-Gatherer/-in-Dallas,TX?jid=ec5f5f29d13fd8bd</t>
  </si>
  <si>
    <t xml:space="preserve">$38-50/hr (ZipRecruiter); $34.13-50.00/hr (SimplyHired)</t>
  </si>
  <si>
    <t xml:space="preserve">No verifiable information found.</t>
  </si>
  <si>
    <t xml:space="preserve">https://www.ziprecruiter.com/Jobs/Petition-Signature; https://www.simplyhired.com/search?q=signature+gatherer+jobs</t>
  </si>
  <si>
    <t xml:space="preserve">Mobilize Michigan</t>
  </si>
  <si>
    <t xml:space="preserve">Michigan (Detroit listing)</t>
  </si>
  <si>
    <t xml:space="preserve">unnamed progressive ballot initiatives (signature gathering and voter contact)</t>
  </si>
  <si>
    <t xml:space="preserve">https://www.ziprecruiter.com/c/Mobilize-Michigan/Job/Field-Manager/-in-Detroit,MI?jid=40e56da15a1ccabe</t>
  </si>
  <si>
    <t xml:space="preserve">Field Manager: $60,000-65,000 salary per the description (the header says $5.0K-6.2K/mo)</t>
  </si>
  <si>
    <t xml:space="preserve">Re-posted about 21 days before the snapshot (early Oct 2026). Locations include Flint, Grand Rapids, Kalamazoo, Lansing and Marquette.</t>
  </si>
  <si>
    <t xml:space="preserve">https://www.ziprecruiter.com/Jobs/Signature-Gathering/-in-Detroit,MI</t>
  </si>
  <si>
    <t xml:space="preserve">Other firms named by Ballotpedia, not checked this session</t>
  </si>
  <si>
    <t xml:space="preserve">Ballotpedia list: Ballot Access Management (MA 2024, $5.99 CPRS), Kimball Petition Management (CA 2024, $14.18), The Monaco Group, Your Choice Petitions / TDM Strategies / Allstate Petition Management / Voter Science / Collective Voice Solutions (WA 2024, $4.51), Accelevate 2020, Nationwide Ballot Access, Allied Data Services, Axiom Strategies, Vanguard Field Strategies, Ground Organizing, Sign2Vote, Arno Petition Consultants, National Petition Management Inc., Democracy Resources, National Voter Outreach, JSM Inc., Masterson &amp; Wright, Taylor Petition Management, Osprey Field Services, Verified Arkansas LLC. Colorado's 2026 licensed petition entities also include Ballot Access Pros, Groundgame Political Solutions, Northwest Petition Management, QualifyNow, SynergySignatures, Revolution Field Strategies, Rocky Mountain Voter Outreach and Victory in the Field. 'Fair Election Fund', 'Silver Bullet Group', 'Grassroots Targeting' and 'Signature Gathering Services' could not be verified as petition firms with the searches available.</t>
  </si>
  <si>
    <t xml:space="preserve">https://ballotpedia.org/Grassroots; https://www.coloradosos.gov/pubs/elections/petitionEntities/licensees.html</t>
  </si>
  <si>
    <t xml:space="preserve">PCI Consultants, Inc.</t>
  </si>
  <si>
    <t xml:space="preserve">Los Angeles area, CA (hills above Malibu per KUOW 2016; exact address unknown)</t>
  </si>
  <si>
    <t xml:space="preserve">2024: AR, FL; CA (with The Monaco Group)</t>
  </si>
  <si>
    <t xml:space="preserve">Led by Angelo Paparella; formerly Progressive Campaigns, Inc.</t>
  </si>
  <si>
    <t xml:space="preserve">https://ballotpedia.org/Grassroots; https://www.kuow.org/stories/paying-signatures-used-be-illegal-now-its-making-californian-rich</t>
  </si>
  <si>
    <t xml:space="preserve">Petition Partners (AZ Petition Partners LLC)</t>
  </si>
  <si>
    <t xml:space="preserve">Phoenix, AZ</t>
  </si>
  <si>
    <t xml:space="preserve">unknown; 2024: RFK Jr. presidential ballot access in AZ (~600 circulators)</t>
  </si>
  <si>
    <t xml:space="preserve">Initiative work starts at about $30/hr, with some workers earning about $55/hr. Candidates pay about $13 per signature on average (2024, KJZZ).</t>
  </si>
  <si>
    <t xml:space="preserve">Manager Andrew D. Chavez. Charged by AZ AG Oct 2020 (Prop 208 bonuses); AZ Supreme Court June 2023 (Arizona Petition Partners v. Thompson) held bonuses/higher hourly pay for high producers lawful; per-signature pay remains banned in AZ.</t>
  </si>
  <si>
    <t xml:space="preserve">https://kjzz.org/content/1875898/meet-people-doing-hard-expensive-work-gathering-signatures-az-ballot-initiatives; https://www.azag.gov/press-release/phoenix-petition-signature-gathering-company-faces-criminal-charges-alleged-illegal; https://ballot-access.org/?p=82419</t>
  </si>
  <si>
    <t xml:space="preserve">SignatureDrive.com</t>
  </si>
  <si>
    <t xml:space="preserve">Brookline, Massachusetts (owner's residence per the Boston Globe)</t>
  </si>
  <si>
    <t xml:space="preserve">https://signaturedrive.com (domain as named in the article; not fetched)</t>
  </si>
  <si>
    <t xml:space="preserve">Public defender union ballot question (&gt;$1M paid); Vote Yes for Water and Nature (part of ~$970K split between two firms); Hubschman filed paperwork for 10 questions for 2028, including legislative staff unionization and gas tax repeal; none had backers as of Sept 22, 2026</t>
  </si>
  <si>
    <t xml:space="preserve">Taylor Petition Management LLC</t>
  </si>
  <si>
    <t xml:space="preserve">1069 Glengary Pl, Colorado Springs, CO 80921</t>
  </si>
  <si>
    <t xml:space="preserve">unknown (email domain tpmusa.com)</t>
  </si>
  <si>
    <t xml:space="preserve">360-239-8321; tracy@tpmusa.com; designated agent Tracy Taylor</t>
  </si>
  <si>
    <t xml:space="preserve">CO license #2012001; circulating CO petitions #108-110. ~$500K collected over 8 years in CO; named in Sept 2026 campaign-finance complaint re: Props 134/135.</t>
  </si>
  <si>
    <t xml:space="preserve">https://coloradosos.gov/pubs/elections/petitionEntities/files/TaylorPetitionManagement-116.pdf; https://www.coloradopolitics.com/2026/09/22/campaign-finance-complaint-targets-backers-of-transgender-ballot-measures-over-petitions-4/</t>
  </si>
  <si>
    <t xml:space="preserve">unknown (job listings in CA, MA, TN, WI, FL, AK, OH; Built In Boston has a company profile)</t>
  </si>
  <si>
    <t xml:space="preserve">unknown (applications via theoutreachteam.applytojob.com)</t>
  </si>
  <si>
    <t xml:space="preserve">unknown (postings give only the application link)</t>
  </si>
  <si>
    <t xml:space="preserve">TN; WI; CA; FL; MA; NV; AK; OH</t>
  </si>
  <si>
    <t xml:space="preserve">Nashville 'Restore Our Fairgrounds' referendum (posted Jul 17, 2026); Eau Claire and La Crosse, WI municipal Citizens' Advisory Healthcare Action Committee measures (posted Jun 16, 2026); Long Beach, CA parcel-tax initiative for affordable housing (posted May 20, 2026; closed); Florida 'Expand healthcare to 1.4 million Floridians' (Pensacola listing on Idealist; page could not be fetched, date unknown); GOTV field director roles in AK and OH (current)</t>
  </si>
  <si>
    <t xml:space="preserve">Nashville: $22/hr circulator, $24/hr team lead, up to $35/hr with bonuses, +$2/hr bilingual (ZipRecruiter shows $23.50-25.50/hr). Wisconsin: $21/hr circulator, $23/hr lead. Long Beach: $26/hr, $27/hr lead. GOTV field directors: $1.1K-1.5K/wk.</t>
  </si>
  <si>
    <t xml:space="preserve">Ran Florida Decides Healthcare circulator hiring (2025): $19/hr circulators, $21-25/hr leaders; Field Director $59,592-$78,000/yr; FL cities Pensacola, Tampa, Miami, Orlando, Jacksonville, Tallahassee, West Palm, Ft Lauderdale.</t>
  </si>
  <si>
    <t xml:space="preserve">https://careers.arena.run/companies/the-outreach-team-2/jobs/86613658-petition-circulator-expand-affordable-housing; https://careers.arena.run/companies/the-outreach-team-2/jobs/82850590-community-petitioner; https://careers.arena.run/companies/the-outreach-team-2/jobs/79505515-petition-circulator; https://www.ziprecruiter.com/Jobs/Petition-Signature; https://ballotpedia.org/Grassroots; https://careers.arena.run/companies/the-outreach-team-2/jobs/48573140-petitioner-help-expand-medicaid-in-florida; https://jobs.arena.run/jobs/field-director-recx-ua8s9k-n6-fw-cq-p</t>
  </si>
  <si>
    <t xml:space="preserve">Urban Signers</t>
  </si>
  <si>
    <t xml:space="preserve">Los Angeles, CA (Hollywood, 90028, per the listing)</t>
  </si>
  <si>
    <t xml:space="preserve">https://www.indeed.com/viewjob?jk=23682f688495564a</t>
  </si>
  <si>
    <t xml:space="preserve">$200-1,000/day; $5 or $10 per signature depending on project</t>
  </si>
  <si>
    <t xml:space="preserve">https://www.indeed.com/q-signature-gatherer-jobs.html; https://www.simplyhired.com/search?q=signature+gatherer+jobs</t>
  </si>
  <si>
    <t xml:space="preserve">Victor's Canvassing / Victors Canvassing</t>
  </si>
  <si>
    <t xml:space="preserve">unknown (Colorado-licensed #2020014)</t>
  </si>
  <si>
    <t xml:space="preserve">Ballotpedia 2024: 2 CO initiatives at an average CPRS of $10.87.</t>
  </si>
  <si>
    <t xml:space="preserve">City</t>
  </si>
  <si>
    <t xml:space="preserve">Campaign</t>
  </si>
  <si>
    <t xml:space="preserve">Company</t>
  </si>
  <si>
    <t xml:space="preserve">Date Posted</t>
  </si>
  <si>
    <t xml:space="preserve">Platform</t>
  </si>
  <si>
    <t xml:space="preserve">Link</t>
  </si>
  <si>
    <t xml:space="preserve">~Oct 21, 2026 ('3d' on SimplyHired; 'New' on ZipRecruiter)</t>
  </si>
  <si>
    <t xml:space="preserve">ZipRecruiter / SimplyHired</t>
  </si>
  <si>
    <t xml:space="preserve">Los Angeles (Hollywood)</t>
  </si>
  <si>
    <t xml:space="preserve">unknown ('depending on the project')</t>
  </si>
  <si>
    <t xml:space="preserve">$200-1,000/day; $5 or $10 per signature</t>
  </si>
  <si>
    <t xml:space="preserve">Indeed / SimplyHired / ZipRecruiter</t>
  </si>
  <si>
    <t xml:space="preserve">Nashville</t>
  </si>
  <si>
    <t xml:space="preserve">Restore Our Fairgrounds referendum</t>
  </si>
  <si>
    <t xml:space="preserve">$22/hr circulator, $24/hr lead, up to $35/hr with bonuses, +$2 bilingual (ZipRecruiter: $23.50-25.50/hr)</t>
  </si>
  <si>
    <t xml:space="preserve">Jul 17, 2026 on Arena; re-posted ~Oct 17, 2026 on ZipRecruiter</t>
  </si>
  <si>
    <t xml:space="preserve">Arena / ZipRecruiter</t>
  </si>
  <si>
    <t xml:space="preserve">Denver</t>
  </si>
  <si>
    <t xml:space="preserve">PS Logistics LLC</t>
  </si>
  <si>
    <t xml:space="preserve">$20/hr</t>
  </si>
  <si>
    <t xml:space="preserve">re-posted ~Oct 5, 2026 ('19 days ago')</t>
  </si>
  <si>
    <t xml:space="preserve">ZipRecruiter</t>
  </si>
  <si>
    <t xml:space="preserve">https://www.ziprecruiter.com/c/PS-Logistics-LLC/Job/Petition-Circulator/-in-Denver,CO?jid=d5c1b43da3aeb6f1</t>
  </si>
  <si>
    <t xml:space="preserve">Windsor</t>
  </si>
  <si>
    <t xml:space="preserve">https://www.ziprecruiter.com/c/PS-Logistics-LLC/Job/Petition-Circulator/-in-Windsor,CO?jid=6bcc15bfa6b7542f</t>
  </si>
  <si>
    <t xml:space="preserve">Liquor license petitions (door to door)</t>
  </si>
  <si>
    <t xml:space="preserve">Oedipus Petitioning LLC</t>
  </si>
  <si>
    <t xml:space="preserve">$500-700/wk</t>
  </si>
  <si>
    <t xml:space="preserve">https://www.ziprecruiter.com/c/Oedipus-Petitioning-LLC/Job/Door-to-Door-Liquor-License-Petitioning/-in-Denver,CO?jid=5cb1e0cd48213fde</t>
  </si>
  <si>
    <t xml:space="preserve">Detroit (also Flint, Grand Rapids, Kalamazoo, Lansing, Marquette)</t>
  </si>
  <si>
    <t xml:space="preserve">unnamed progressive ballot initiatives</t>
  </si>
  <si>
    <t xml:space="preserve">$60,000-65,000 salary per the description (header: $5.0K-6.2K/mo) - Field Manager</t>
  </si>
  <si>
    <t xml:space="preserve">re-posted ~Oct 3, 2026 ('21 days ago')</t>
  </si>
  <si>
    <t xml:space="preserve">Detroit / Dearborn</t>
  </si>
  <si>
    <t xml:space="preserve">unknown (community outreach representative)</t>
  </si>
  <si>
    <t xml:space="preserve">Verdugo Strategies</t>
  </si>
  <si>
    <t xml:space="preserve">https://www.ziprecruiter.com/c/Verdugo-Strategies/Job/Community-Outreach-Representative(MI)/-in-Detroit,MI?jid=4bfb4f23f6f40de6</t>
  </si>
  <si>
    <t xml:space="preserve">PTGR Strategies (via Arena)</t>
  </si>
  <si>
    <t xml:space="preserve">$19.25-25.75/hr (ZipRecruiter estimate, not stated by the employer)</t>
  </si>
  <si>
    <t xml:space="preserve">https://www.ziprecruiter.com/c/Arena/Job/PTGR-Strategies:-Signature-Collector/-in-Washington,DC?jid=00b6903f80cd9c1a</t>
  </si>
  <si>
    <t xml:space="preserve">Salt Lake City</t>
  </si>
  <si>
    <t xml:space="preserve">unknown (canvasser; petitions not mentioned)</t>
  </si>
  <si>
    <t xml:space="preserve">$25/hr</t>
  </si>
  <si>
    <t xml:space="preserve">Indeed</t>
  </si>
  <si>
    <t xml:space="preserve">unknown (FieldWorks 'program state')</t>
  </si>
  <si>
    <t xml:space="preserve">assigned by FieldWorks</t>
  </si>
  <si>
    <t xml:space="preserve">FieldWorks</t>
  </si>
  <si>
    <t xml:space="preserve">$24/hr, travel covered (invite-only, former staff)</t>
  </si>
  <si>
    <t xml:space="preserve">unknown (work dates Nov 25 - Dec 4)</t>
  </si>
  <si>
    <t xml:space="preserve">Company career page</t>
  </si>
  <si>
    <t xml:space="preserve">https://fieldworks.com/?p=5722</t>
  </si>
  <si>
    <t xml:space="preserve">Eau Claire / La Crosse</t>
  </si>
  <si>
    <t xml:space="preserve">Citizens' Advisory Healthcare Action Committee municipal measures</t>
  </si>
  <si>
    <t xml:space="preserve">$21/hr circulator, $23/hr lead</t>
  </si>
  <si>
    <t xml:space="preserve">Jun 16, 2026 (outside the Sept-Oct window)</t>
  </si>
  <si>
    <t xml:space="preserve">Arena</t>
  </si>
  <si>
    <t xml:space="preserve">https://careers.arena.run/companies/the-outreach-team-2/jobs/82850590-community-petitioner</t>
  </si>
  <si>
    <t xml:space="preserve">Long Beach / Central LA</t>
  </si>
  <si>
    <t xml:space="preserve">Long Beach parcel tax for affordable housing</t>
  </si>
  <si>
    <t xml:space="preserve">$26/hr, $27/hr lead, +$2 bilingual</t>
  </si>
  <si>
    <t xml:space="preserve">May 20, 2026 (closed)</t>
  </si>
  <si>
    <t xml:space="preserve">https://careers.arena.run/companies/the-outreach-team-2/jobs/79505515-petition-circulator</t>
  </si>
  <si>
    <t xml:space="preserve">Killin for Colorado (candidate petition)</t>
  </si>
  <si>
    <t xml:space="preserve">Killin for Colorado</t>
  </si>
  <si>
    <t xml:space="preserve">$30/hr, 10-30 hrs/wk</t>
  </si>
  <si>
    <t xml:space="preserve">'Washington ballot initiatives' (per the listing title)</t>
  </si>
  <si>
    <t xml:space="preserve">Craigslist (page could not be fetched; found in search results only)</t>
  </si>
  <si>
    <t xml:space="preserve">https://www.craigslist.org/view/d/washington-ballot-initiatives-seeking/nc1dfeoPHm8c19ZKLWWJ7V</t>
  </si>
  <si>
    <t xml:space="preserve">Topic</t>
  </si>
  <si>
    <t xml:space="preserve">Finding</t>
  </si>
  <si>
    <t xml:space="preserve">Per-signature rates, California 2026</t>
  </si>
  <si>
    <t xml:space="preserve">Spring 2026 statewide initiatives paid circulators up to $15 per signature (NYT via Ballot Access News, SF Examiner), with some $7-12. Per an unverified commenter, local petitions paid $20+ and coordinators received $30+ per signature on $15 petitions. One unverified commenter estimated about $125M spent across 9 CA initiatives (~$10 per raw signature). A video of $5-per-signature payments to signers on a billionaire-tax counter-measure triggered a state probe.</t>
  </si>
  <si>
    <t xml:space="preserve">https://ballot-access.org/2026/10/20/new-york-times-story-on-paid-petitioners/; https://www.sfexaminer.com/these-masked-men-in-san-francisco-want-one-thing-your-signature/article_90311f74-0179-527a-a2a5-bdb470813ce2.html; https://sfist.com/2026/03/13/group-filmed-paying-5-per-signature-at-sixth-and-mission-on-pro-billionaire-petitions/</t>
  </si>
  <si>
    <t xml:space="preserve">National cost benchmarks</t>
  </si>
  <si>
    <t xml:space="preserve">Ballotpedia put the 2024 national average at nearly $15 per signature. 2024 average cost per required signature (CPRS) by firm: AMT $24.37, Landslide $24.17, Blitz $20.86, FieldWorks $19.01, PCI $30.85, The Outreach Team $32.16, Victors $10.87, and Washington firms as low as $4.51.</t>
  </si>
  <si>
    <t xml:space="preserve">https://ballotpedia.org/Grassroots; https://michiganadvance.com/2026/01/21/voters-say-signature-gatherers-often-misrepresent-what-proposals-will-do-nothing-has-changed/</t>
  </si>
  <si>
    <t xml:space="preserve">Hourly pay in states that ban per-signature pay</t>
  </si>
  <si>
    <t xml:space="preserve">Current postings run $20-50/hr. Most Outreach Team and PS Logistics roles pay $20-27/hr, LMK Strategies in Dallas pays $34-50/hr, and Arizona 2024 rates ran $25-30/hr, with Petition Partners top workers at about $55/hr.</t>
  </si>
  <si>
    <t xml:space="preserve">https://www.ziprecruiter.com/Jobs/Petition-Signature; https://kjzz.org/content/1875898/meet-people-doing-hard-expensive-work-gathering-signatures-az-ballot-initiatives</t>
  </si>
  <si>
    <t xml:space="preserve">There are 9 questions on the Nov 2026 ballot, tied for the most ever. A referendum petition on the Aug 10, 2026 abortion law (Mass. Citizens for Life / Mass. Family Action) is live now: signatures were due to local clerks Oct 23 and are due to the Secretary of State Nov 6. It needs 37,289 signatures for the 2028 ballot and 49,719 to suspend the law. Harold Hubschman filed 10 prospective 2028 questions. A pending bill would ban per-signature pay and require a paid-circulator disclosure. The Aug 2025 filing produced 42 laws for 2026 and 5 constitutional amendments for 2028. By analogy, the 2028 statute cycle should start with filings in Aug 2027 (inference, not verified).</t>
  </si>
  <si>
    <t xml:space="preserve">https://www.wbur.org/news/2026/09/04/massachusetts-abortion-law-2028-refendum; https://www.bostonglobe.com/2026/09/22/newsletters/harold-hubschman-ballot-questions-signatures-the-scrum/; https://www.mass.gov/news/ag-campbells-office-receives-47-ballot-initiative-petitions-proposing-42-laws-and-5-constitutional-amendments</t>
  </si>
  <si>
    <t xml:space="preserve">Initiatives to the legislature need 308,911 valid signatures; the state recommends submitting about 390,000. The last cycle's deadline was Jan 2, 2026. Let's Go Washington was weighing the 2026 ballot versus an initiative to the legislature (for 2027) to repeal the 9.9% millionaires' income tax (May 2026). Whether it chose the initiative-to-the-legislature route was not verified. The 'initiative killer' restriction bill died in the legislature in Feb 2026. FieldWorks' Nov 25 - Dec 4 travel crew fits a late-year WA push, but this is unconfirmed.</t>
  </si>
  <si>
    <t xml:space="preserve">https://www.komonews.com/news/local/lets-go-washington-girls-sports-fairness-democratic-process-governer-ferguson-what-is-an-initiative-to-the-legislature-and-how-many-are-in-the-works-right-now; https://washingtonstatestandard.com/2026/05/08/lets-go-washington-will-go-for-income-tax-repeal-on-this-years-ballot/; https://washingtonstatestandard.com/2026/02/17/foes-called-it-the-initiative-killer-now-its-dead-in-the-wa-legislature/; https://fieldworks.com/?p=5722</t>
  </si>
  <si>
    <t xml:space="preserve">The 2026 initiative filing deadline was Feb 2, 2026, requiring 67,682 signatures. The next cycle's requirement and deadline were not verified this session.</t>
  </si>
  <si>
    <t xml:space="preserve">https://www.maine.gov/sos/elections-voting/peoples-veto-or-citizens-initiative-resources/deadlines-for-current-citizen-initiatives</t>
  </si>
  <si>
    <t xml:space="preserve">Florida HB 1205 (2025)</t>
  </si>
  <si>
    <t xml:space="preserve">Circulators must be Florida residents and U.S. citizens and must register with the Division of Elections. Felons without restored rights are barred. Organizations face fines up to $50,000 per ineligible circulator, petitions must be turned in within 10 days (down from 30), and filling in missing petition information is a third-degree felony. A July 2025 preliminary ruling was mixed: some non-citizen/non-resident provisions were enjoined per the Floridian Press headline. After a Feb 2026 trial, Judge Mark Walker upheld the law around Apr 30, 2026. Florida Decides Healthcare was considering an appeal and relaunched for 2028. The net effect is to shut out the out-of-state traveling-circulator model and favor local, Florida-resident crews.</t>
  </si>
  <si>
    <t xml:space="preserve">https://floridaphoenix.com/2026/04/30/federal-judge-upholds-floridas-citizen-initiative-restrictions/; https://www.newsfromthestates.com/article/federal-ruling-florida-ballot-initiative-restriction-challenge-could-have-national; https://floridaphoenix.com/2025/07/09/federal-judge-issues-mixed-ruling-on-floridas-new-ballot-initiative-law/</t>
  </si>
  <si>
    <t xml:space="preserve">Arkansas 2025 laws</t>
  </si>
  <si>
    <t xml:space="preserve">SB 102 bans per-signature pay, requires State Police background checks for paid canvassers, expands disqualifying offenses, and requires local canvassers to be U.S. citizens and Arkansas residents. SB 207 requires a verbal or written fraud warning to signers (Class A misdemeanor if skipped). HB 1221 makes signatures expire at the next general election. HB 1222 expands the AG's power to reject measures. All were signed Mar 3, 2025.</t>
  </si>
  <si>
    <t xml:space="preserve">https://news.ballotpedia.org/2025/03/03/arkansas-governor-signs-four-bills-revising-initiative-and-referendum-rules-including-signature-gathering-period-ballot-language-approval-and-circulator-requirements/</t>
  </si>
  <si>
    <t xml:space="preserve">State circulator rules overview (Ballotpedia, May 2026)</t>
  </si>
  <si>
    <t xml:space="preserve">21 of 26 initiative states have at least one circulator requirement: 10 ban per-signature pay, 6 require residency, 9 require citizenship, and 12 require paid/volunteer disclosure. Arkansas, Florida, Oklahoma and Montana adopted new circulator policies in 2025, and no state adopted one in 2026. FL and OK have rules in all five areas, while MA, MD, MO, OH and WA have none.</t>
  </si>
  <si>
    <t xml:space="preserve">https://news.ballotpedia.org/2026/05/21/twenty-one-states-set-at-least-one-requirement-on-ballot-initiative-petition-circulators-2/</t>
  </si>
  <si>
    <t xml:space="preserve">Failed or pending restrictions</t>
  </si>
  <si>
    <t xml:space="preserve">South Dakota's HB 1087 (a total ban on paid circulators) failed in the House in Jan 2026 over First Amendment concerns (Meyer v. Grant, 1988). The Michigan Senate passed a per-signature pay ban (SB 529 et al.) on Nov 13, 2025, but its fate in the GOP House was uncertain and no enactment was found. Massachusetts has a pending per-signature ban bill. Montana's CI-133, on the Nov 2026 ballot, aims to shield the initiative process from government interference (article not fetched). Utah and Missouri 2025-26 changes were not verified because the search budget ran out.</t>
  </si>
  <si>
    <t xml:space="preserve">https://www.yahoo.com/news/articles/bill-ban-paid-petitioning-fails-001941935.html; https://www.michiganpublic.org/politics-government/2025-11-13/senate-approves-ban-on-paying-petition-circulators-by-the-signature; https://www.bostonglobe.com/2026/09/22/newsletters/harold-hubschman-ballot-questions-signatures-the-scrum/; https://helenair.com/news/state-regional/government-politics/elections/article_6da502f9-6b90-42f1-b8ab-2b790414fb2a.html</t>
  </si>
  <si>
    <t xml:space="preserve">Industry conflict and fraud scrutiny</t>
  </si>
  <si>
    <t xml:space="preserve">AMT v. Let the Voters Decide et al. (worker-poaching, W.D. Mo., Nov 2025) and the Missouri AG probe of AMT. Michigan voters report misrepresentation by gatherers. California has the $5-per-signer video probe. Quality control and compliance are becoming selling points with clients.</t>
  </si>
  <si>
    <t xml:space="preserve">https://missouriindependent.com/2025/11/21/lawsuit-details-alleged-scheme-to-sabotage-referendum-on-gerrymandered-missouri-congressional-map/; https://www.votebeat.org/michigan/2026/01/20/petition-signature-gathering-lying-ballot-questions-constitutional-amendments/</t>
  </si>
  <si>
    <t xml:space="preserve">Local and municipal petition demand (late 2026)</t>
  </si>
  <si>
    <t xml:space="preserve">Municipal drives are active: Nashville fairgrounds referendum, Wisconsin and Michigan city healthcare-committee measures (City Action Michigan; Kalamazoo measure on the Nov 2026 ballot), 4 Dallas drives (Oct 2026, details not retrieved), and Colorado's 75 licensed 2026 petition entities. This supports a local-campaign niche.</t>
  </si>
  <si>
    <t xml:space="preserve">https://careers.arena.run/companies/the-outreach-team-2/jobs/86613658-petition-circulator-expand-affordable-housing; https://watershedvoice.com/2026/10/22/a-closer-look-at-kalamazoos-healthcare-proposal-criticized-by-mayor-as-dark-money/; https://www.dmagazine.com/frontburner/2026/10/4-dallas-petition-drives-voters-should-know-about/; https://www.coloradosos.gov/pubs/elections/petitionEntities/licensees.html</t>
  </si>
  <si>
    <t xml:space="preserve">Monitoring log — add newly found projects here first</t>
  </si>
  <si>
    <t xml:space="preserve">Yellow row = example of the expected format; overwrite it. Once a project is verified, copy it to Database and mark 'Moved to Database' = Yes.</t>
  </si>
  <si>
    <t xml:space="preserve">Date Found</t>
  </si>
  <si>
    <t xml:space="preserve">How Found (source type)</t>
  </si>
  <si>
    <t xml:space="preserve">Source Link</t>
  </si>
  <si>
    <t xml:space="preserve">Moved to Database?</t>
  </si>
  <si>
    <t xml:space="preserve">2026-11-02</t>
  </si>
  <si>
    <t xml:space="preserve">(example) Gas tax repeal 2028</t>
  </si>
  <si>
    <t xml:space="preserve">OCPF expenditure report</t>
  </si>
  <si>
    <t xml:space="preserve">2026-11-18</t>
  </si>
  <si>
    <t xml:space="preserve">https://www.ocpf.us</t>
  </si>
  <si>
    <t xml:space="preserve">No</t>
  </si>
</sst>
</file>

<file path=xl/styles.xml><?xml version="1.0" encoding="utf-8"?>
<styleSheet xmlns="http://schemas.openxmlformats.org/spreadsheetml/2006/main">
  <numFmts count="4">
    <numFmt numFmtId="164" formatCode="General"/>
    <numFmt numFmtId="165" formatCode="yyyy\-mm\-dd"/>
    <numFmt numFmtId="166" formatCode="0"/>
    <numFmt numFmtId="167"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b val="true"/>
      <sz val="10"/>
      <name val="Arial"/>
      <family val="0"/>
      <charset val="1"/>
    </font>
    <font>
      <sz val="10"/>
      <name val="Arial"/>
      <family val="0"/>
      <charset val="1"/>
    </font>
    <font>
      <sz val="11"/>
      <color rgb="FF0000FF"/>
      <name val="Arial"/>
      <family val="0"/>
      <charset val="1"/>
    </font>
    <font>
      <b val="true"/>
      <sz val="10"/>
      <color rgb="FFFFFFFF"/>
      <name val="Arial"/>
      <family val="0"/>
      <charset val="1"/>
    </font>
    <font>
      <u val="single"/>
      <sz val="10"/>
      <color rgb="FF0563C1"/>
      <name val="Arial"/>
      <family val="0"/>
      <charset val="1"/>
    </font>
    <font>
      <i val="true"/>
      <sz val="9"/>
      <name val="Arial"/>
      <family val="0"/>
      <charset val="1"/>
    </font>
    <font>
      <sz val="10"/>
      <color rgb="FF0000FF"/>
      <name val="Arial"/>
      <family val="0"/>
      <charset val="1"/>
    </font>
  </fonts>
  <fills count="10">
    <fill>
      <patternFill patternType="none"/>
    </fill>
    <fill>
      <patternFill patternType="gray125"/>
    </fill>
    <fill>
      <patternFill patternType="solid">
        <fgColor rgb="FFC6EFCE"/>
        <bgColor rgb="FFE2F0D9"/>
      </patternFill>
    </fill>
    <fill>
      <patternFill patternType="solid">
        <fgColor rgb="FFE2F0D9"/>
        <bgColor rgb="FFEDEDED"/>
      </patternFill>
    </fill>
    <fill>
      <patternFill patternType="solid">
        <fgColor rgb="FFFFF2CC"/>
        <bgColor rgb="FFEDEDED"/>
      </patternFill>
    </fill>
    <fill>
      <patternFill patternType="solid">
        <fgColor rgb="FFDDEBF7"/>
        <bgColor rgb="FFEDEDED"/>
      </patternFill>
    </fill>
    <fill>
      <patternFill patternType="solid">
        <fgColor rgb="FFEDEDED"/>
        <bgColor rgb="FFE2F0D9"/>
      </patternFill>
    </fill>
    <fill>
      <patternFill patternType="solid">
        <fgColor rgb="FFF8CBAD"/>
        <bgColor rgb="FFFFF2CC"/>
      </patternFill>
    </fill>
    <fill>
      <patternFill patternType="solid">
        <fgColor rgb="FFFFFF00"/>
        <bgColor rgb="FFFFFF00"/>
      </patternFill>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5" fontId="7" fillId="8" borderId="0" xfId="0" applyFont="true" applyBorder="false" applyAlignment="false" applyProtection="false">
      <alignment horizontal="general" vertical="bottom" textRotation="0" wrapText="false" indent="0" shrinkToFit="false"/>
      <protection locked="true" hidden="false"/>
    </xf>
    <xf numFmtId="164" fontId="8" fillId="9" borderId="0" xfId="0" applyFont="true" applyBorder="false" applyAlignment="true" applyProtection="false">
      <alignment horizontal="general" vertical="center" textRotation="0" wrapText="tru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top" textRotation="0" wrapText="true" indent="0" shrinkToFit="false"/>
      <protection locked="true" hidden="false"/>
    </xf>
    <xf numFmtId="166" fontId="6"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7"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8"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F0D9"/>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0563C1"/>
          <bgColor rgb="FF000000"/>
        </patternFill>
      </fill>
    </dxf>
    <dxf>
      <fill>
        <patternFill patternType="solid">
          <fgColor rgb="FF0000FF"/>
          <bgColor rgb="FF000000"/>
        </patternFill>
      </fill>
    </dxf>
    <dxf>
      <fill>
        <patternFill patternType="solid">
          <fgColor rgb="FFC6EFCE"/>
          <bgColor rgb="FF000000"/>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563C1"/>
      <rgbColor rgb="FFEDEDED"/>
      <rgbColor rgb="FF000080"/>
      <rgbColor rgb="FFFF00FF"/>
      <rgbColor rgb="FFFFFF00"/>
      <rgbColor rgb="FF00FFFF"/>
      <rgbColor rgb="FF800080"/>
      <rgbColor rgb="FF800000"/>
      <rgbColor rgb="FF008080"/>
      <rgbColor rgb="FF0000FF"/>
      <rgbColor rgb="FF00CCFF"/>
      <rgbColor rgb="FFE2F0D9"/>
      <rgbColor rgb="FFC6EFCE"/>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Coverage" displayName="Coverage" ref="A1:K52" headerRowCount="1" totalsRowCount="0" totalsRowShown="0">
  <autoFilter ref="A1:K52"/>
  <tableColumns count="11">
    <tableColumn id="1" name="State"/>
    <tableColumn id="2" name="Abbr"/>
    <tableColumn id="3" name="Confirmed active paid"/>
    <tableColumn id="4" name="Strong evidence active paid"/>
    <tableColumn id="5" name="Active – paid unconfirmed"/>
    <tableColumn id="6" name="Upcoming"/>
    <tableColumn id="7" name="Completed/Expired"/>
    <tableColumn id="8" name="No verified project"/>
    <tableColumn id="9" name="Total Records"/>
    <tableColumn id="10" name="Live (first 4)"/>
    <tableColumn id="11" name="Coverage Note"/>
  </tableColumns>
</table>
</file>

<file path=xl/tables/table2.xml><?xml version="1.0" encoding="utf-8"?>
<table xmlns="http://schemas.openxmlformats.org/spreadsheetml/2006/main" id="2" name="FirmsTbl" displayName="FirmsTbl" ref="A1:K19" headerRowCount="1" totalsRowCount="0" totalsRowShown="0">
  <autoFilter ref="A1:K19"/>
  <tableColumns count="11">
    <tableColumn id="1" name="Firm"/>
    <tableColumn id="2" name="HQ"/>
    <tableColumn id="3" name="Website"/>
    <tableColumn id="4" name="Public Contact"/>
    <tableColumn id="5" name="States Seen"/>
    <tableColumn id="6" name="Known Campaigns (2026)"/>
    <tableColumn id="7" name="Projects in Database"/>
    <tableColumn id="8" name="Recruiting Link"/>
    <tableColumn id="9" name="Stated Pay"/>
    <tableColumn id="10" name="Notes"/>
    <tableColumn id="11" name="Sources"/>
  </tableColumns>
</table>
</file>

<file path=xl/tables/table3.xml><?xml version="1.0" encoding="utf-8"?>
<table xmlns="http://schemas.openxmlformats.org/spreadsheetml/2006/main" id="3" name="Jobs" displayName="Jobs" ref="A1:H16" headerRowCount="1" totalsRowCount="0" totalsRowShown="0">
  <autoFilter ref="A1:H16"/>
  <tableColumns count="8">
    <tableColumn id="1" name="State"/>
    <tableColumn id="2" name="City"/>
    <tableColumn id="3" name="Campaign"/>
    <tableColumn id="4" name="Company"/>
    <tableColumn id="5" name="Stated Pay"/>
    <tableColumn id="6" name="Date Posted"/>
    <tableColumn id="7" name="Platform"/>
    <tableColumn id="8" name="Link"/>
  </tableColumns>
</table>
</file>

<file path=xl/tables/table4.xml><?xml version="1.0" encoding="utf-8"?>
<table xmlns="http://schemas.openxmlformats.org/spreadsheetml/2006/main" id="4" name="Opportunities" displayName="Opportunities" ref="A4:P49" headerRowCount="1" totalsRowCount="0" totalsRowShown="0">
  <autoFilter ref="A4:P49"/>
  <tableColumns count="16">
    <tableColumn id="1" name="Rank"/>
    <tableColumn id="2" name="State"/>
    <tableColumn id="3" name="Campaign / Petition"/>
    <tableColumn id="4" name="Status"/>
    <tableColumn id="5" name="Circulation Firm"/>
    <tableColumn id="6" name="Circulator Pay"/>
    <tableColumn id="7" name="Deadline"/>
    <tableColumn id="8" name="Signatures Required"/>
    <tableColumn id="9" name="Hiring Link"/>
    <tableColumn id="10" name="Hiring"/>
    <tableColumn id="11" name="Pay"/>
    <tableColumn id="12" name="Urgency"/>
    <tableColumn id="13" name="Scale"/>
    <tableColumn id="14" name="Evidence"/>
    <tableColumn id="15" name="TOTAL (0–25)"/>
    <tableColumn id="16" name="Why it matters"/>
  </tableColumns>
</table>
</file>

<file path=xl/tables/table5.xml><?xml version="1.0" encoding="utf-8"?>
<table xmlns="http://schemas.openxmlformats.org/spreadsheetml/2006/main" id="5" name="Projects" displayName="Projects" ref="A1:AB135" headerRowCount="1" totalsRowCount="0" totalsRowShown="0">
  <autoFilter ref="A1:AB135"/>
  <tableColumns count="28">
    <tableColumn id="1" name="ID"/>
    <tableColumn id="2" name="State"/>
    <tableColumn id="3" name="Region"/>
    <tableColumn id="4" name="Area"/>
    <tableColumn id="5" name="Campaign / Petition"/>
    <tableColumn id="6" name="Purpose"/>
    <tableColumn id="7" name="Type"/>
    <tableColumn id="8" name="Sponsor / Committee"/>
    <tableColumn id="9" name="Circulation Firm"/>
    <tableColumn id="10" name="Status"/>
    <tableColumn id="11" name="Signatures Required"/>
    <tableColumn id="12" name="Deadline"/>
    <tableColumn id="13" name="Deadline (date)"/>
    <tableColumn id="14" name="Days Left"/>
    <tableColumn id="15" name="Signatures Collected"/>
    <tableColumn id="16" name="Circulator Pay"/>
    <tableColumn id="17" name="Hiring Link"/>
    <tableColumn id="18" name="Budget / Spend"/>
    <tableColumn id="19" name="Decision Maker"/>
    <tableColumn id="20" name="Public Contact"/>
    <tableColumn id="21" name="Website"/>
    <tableColumn id="22" name="Evidence Note"/>
    <tableColumn id="23" name="Source 1"/>
    <tableColumn id="24" name="Source 2"/>
    <tableColumn id="25" name="Source 3"/>
    <tableColumn id="26" name="More Sources"/>
    <tableColumn id="27" name="Discovery Batch"/>
    <tableColumn id="28" name="Last Verifie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ballot-access.org/2026/06/22/june-2026-ballot-access-news-print-edition/" TargetMode="External"/><Relationship Id="rId2" Type="http://schemas.openxmlformats.org/officeDocument/2006/relationships/hyperlink" Target="https://www.adn.com/politics/2026/10/14/proposed-ballot-initiative-would-require-alaska-federal-state-candidates-to-gather-signatures-before-running-for-office/" TargetMode="External"/><Relationship Id="rId3" Type="http://schemas.openxmlformats.org/officeDocument/2006/relationships/hyperlink" Target="https://www.elections.alaska.gov/petitions-and-ballot-measures/petition-status/petition_id/gr8j9" TargetMode="External"/><Relationship Id="rId4" Type="http://schemas.openxmlformats.org/officeDocument/2006/relationships/hyperlink" Target="https://www.elections.alaska.gov/petitions-and-ballot-measures/" TargetMode="External"/><Relationship Id="rId5" Type="http://schemas.openxmlformats.org/officeDocument/2006/relationships/hyperlink" Target="https://alaskabeacon.com/briefs/ballot-initiative-to-decriminalize-psychedelics-in-alaska-cleared-for-signature-gathering/" TargetMode="External"/><Relationship Id="rId6" Type="http://schemas.openxmlformats.org/officeDocument/2006/relationships/hyperlink" Target="https://www.elections.alaska.gov/petitions-and-ballot-measures/" TargetMode="External"/><Relationship Id="rId7" Type="http://schemas.openxmlformats.org/officeDocument/2006/relationships/hyperlink" Target="https://www.elections.alaska.gov/lieutenant-governor-nancy-dahlstrom-certifies-proper-filing-of-ballot-initiative-petition-25uscv/" TargetMode="External"/><Relationship Id="rId8" Type="http://schemas.openxmlformats.org/officeDocument/2006/relationships/hyperlink" Target="https://www.elections.alaska.gov/petitions-and-ballot-measures/" TargetMode="External"/><Relationship Id="rId9" Type="http://schemas.openxmlformats.org/officeDocument/2006/relationships/hyperlink" Target="https://www.scottsdaleaz.gov/elections/referendum" TargetMode="External"/><Relationship Id="rId10" Type="http://schemas.openxmlformats.org/officeDocument/2006/relationships/hyperlink" Target="https://www.abc15.com/news/business/axon-headquarters-referendum-certified-by-city-of-scottsdale" TargetMode="External"/><Relationship Id="rId11" Type="http://schemas.openxmlformats.org/officeDocument/2006/relationships/hyperlink" Target="https://www.yahoo.com/news/collecting-26-000-signatures-scottsdale-195209122.html" TargetMode="External"/><Relationship Id="rId12" Type="http://schemas.openxmlformats.org/officeDocument/2006/relationships/hyperlink" Target="https://www.kjzz.org/elections/2026-07-02/arizona-group-drops-petition-to-enshrine-early-voting-in-the-state-constitution" TargetMode="External"/><Relationship Id="rId13" Type="http://schemas.openxmlformats.org/officeDocument/2006/relationships/hyperlink" Target="https://www.arizonaagenda.com/p/protect-the-vote-s-final-push" TargetMode="External"/><Relationship Id="rId14" Type="http://schemas.openxmlformats.org/officeDocument/2006/relationships/hyperlink" Target="https://news.ballotpedia.org/2026/07/07/arizona-campaign-submits-421451-signatures-for-initiative-to-limit-empowerment-scholarship-account-eligibility-and-spending/" TargetMode="External"/><Relationship Id="rId15" Type="http://schemas.openxmlformats.org/officeDocument/2006/relationships/hyperlink" Target="https://www.myheraldreview.com/news/benson/recall-effort-could-oust-benson-mayor-and-4-of-6-council-members/article_c4e47701-9375-4059-90af-f546cb7905ba.amp.html" TargetMode="External"/><Relationship Id="rId16" Type="http://schemas.openxmlformats.org/officeDocument/2006/relationships/hyperlink" Target="https://www.myheraldreview.com/news/benson/konrad-recall-effort-fell-short-for-common-petition-issues/article_b2a9d91b-bf7d-4406-98cc-26ee613abe78.amp.html" TargetMode="External"/><Relationship Id="rId17" Type="http://schemas.openxmlformats.org/officeDocument/2006/relationships/hyperlink" Target="https://careers.arena.run/companies/job-post-2/jobs/68651818-right-size-consulting-canvasser" TargetMode="External"/><Relationship Id="rId18" Type="http://schemas.openxmlformats.org/officeDocument/2006/relationships/hyperlink" Target="https://careers.arena.run/companies/job-post-2/jobs/68651818-right-size-consulting-canvasser" TargetMode="External"/><Relationship Id="rId19" Type="http://schemas.openxmlformats.org/officeDocument/2006/relationships/hyperlink" Target="https://news.ballotpedia.org/2026/07/08/signatures-submitted-for-arkansas-initiative-to-prohibit-the-state-legislature-from-amending-or-repealing-constitutional-amendments-and-require-voter-approval-for-changes-to-the-initiative-and-referen/" TargetMode="External"/><Relationship Id="rId20" Type="http://schemas.openxmlformats.org/officeDocument/2006/relationships/hyperlink" Target="https://arkansasadvocate.com/2025/07/28/arkansas-attorney-general-approves-second-direct-democracy-ballot-title/" TargetMode="External"/><Relationship Id="rId21" Type="http://schemas.openxmlformats.org/officeDocument/2006/relationships/hyperlink" Target="https://www.sos.arkansas.gov/elections/initiatives-and-referenda" TargetMode="External"/><Relationship Id="rId22" Type="http://schemas.openxmlformats.org/officeDocument/2006/relationships/hyperlink" Target="https://www.sos.ca.gov/administration/news-releases-and-advisories/2026-news-releases-and-advisories/proposed-initiative-enters-circulation-repeals-top-two-open-primary-election-process-initiative-constitutional-amendment" TargetMode="External"/><Relationship Id="rId23" Type="http://schemas.openxmlformats.org/officeDocument/2006/relationships/hyperlink" Target="https://www.kpbs.org/news/politics/2026/07/16/effort-to-repeal-californias-top-two-jungle-primary-system-is-closer-to-qualifying-for-the-2028-ballot" TargetMode="External"/><Relationship Id="rId24" Type="http://schemas.openxmlformats.org/officeDocument/2006/relationships/hyperlink" Target="https://ivn.us/more-choice-california-launches-to-defend-nonpartisan-primary-as-democratic-and-republican-operatives-quietly-join-forces-to-repeal-it-2026-05-13/" TargetMode="External"/><Relationship Id="rId25" Type="http://schemas.openxmlformats.org/officeDocument/2006/relationships/hyperlink" Target="https://www.sos.ca.gov/administration/news-releases-and-advisories/2026-news-releases-and-advisories/california-secretary-state-shirley-n-weber-phd-announces-proposed-initiative-has-entered-circulation-exempts-additional-food-pro" TargetMode="External"/><Relationship Id="rId26" Type="http://schemas.openxmlformats.org/officeDocument/2006/relationships/hyperlink" Target="https://www.sos.ca.gov/administration/news-releases-and-advisories/2026-news-releases-and-advisories" TargetMode="External"/><Relationship Id="rId27" Type="http://schemas.openxmlformats.org/officeDocument/2006/relationships/hyperlink" Target="https://urban-signers-llc.careerplug.com/jobs/3365854" TargetMode="External"/><Relationship Id="rId28" Type="http://schemas.openxmlformats.org/officeDocument/2006/relationships/hyperlink" Target="https://urban-signers-llc.careerplug.com/jobs/3365854" TargetMode="External"/><Relationship Id="rId29" Type="http://schemas.openxmlformats.org/officeDocument/2006/relationships/hyperlink" Target="https://urban-signers-llc.careerplug.com/jobs/3365854" TargetMode="External"/><Relationship Id="rId30" Type="http://schemas.openxmlformats.org/officeDocument/2006/relationships/hyperlink" Target="https://www.sos.ca.gov/administration/news-releases-and-advisories/2026-news-releases-and-advisories/proposed-initiative-enters-circulation-prohibits-use-after-2026-temporary-congressional-district-maps-adopted-voters-2025-respon" TargetMode="External"/><Relationship Id="rId31" Type="http://schemas.openxmlformats.org/officeDocument/2006/relationships/hyperlink" Target="https://www.sos.ca.gov/administration/news-releases-and-advisories/2026-news-releases-and-advisories/proposed-initiative-enters-circulation-exempts-certain-homeowners-aged-60-or-older-property-taxes-initiative-constitutional-amen" TargetMode="External"/><Relationship Id="rId32" Type="http://schemas.openxmlformats.org/officeDocument/2006/relationships/hyperlink" Target="https://www.sos.ca.gov/administration/news-releases-and-advisories/2026-news-releases-and-advisories/california-secretary-state-shirley-n-weber-phd-announces-proposed-initiative-has-entered-circulation-changes-ballot-initiative-p" TargetMode="External"/><Relationship Id="rId33" Type="http://schemas.openxmlformats.org/officeDocument/2006/relationships/hyperlink" Target="https://sos.ca.gov/elections/ballot-measures/initiative-and-referendum-status/initiatives-referenda-cleared-circulation" TargetMode="External"/><Relationship Id="rId34" Type="http://schemas.openxmlformats.org/officeDocument/2006/relationships/hyperlink" Target="https://www.sos.ca.gov/administration/news-releases-and-advisories/2026-news-releases-and-advisories/california-secretary-state-shirley-n-weber-phd-announces-proposed-initiative-has-entered-circulation-changes-ballot-initiative-p" TargetMode="External"/><Relationship Id="rId35" Type="http://schemas.openxmlformats.org/officeDocument/2006/relationships/hyperlink" Target="https://www.sos.ca.gov/administration/news-releases-and-advisories/2026-news-releases-and-advisories/california-secretary-state-shirley-n-weber-phd-announces-proposed-initiative-has-entered-circulation" TargetMode="External"/><Relationship Id="rId36" Type="http://schemas.openxmlformats.org/officeDocument/2006/relationships/hyperlink" Target="https://sos.ca.gov/elections/ballot-measures/initiative-and-referendum-status/initiatives-referenda-cleared-circulation" TargetMode="External"/><Relationship Id="rId37" Type="http://schemas.openxmlformats.org/officeDocument/2006/relationships/hyperlink" Target="https://sfstandard.com/2026/03/05/california-ballot-bounties-have-gone-wild/" TargetMode="External"/><Relationship Id="rId38" Type="http://schemas.openxmlformats.org/officeDocument/2006/relationships/hyperlink" Target="https://www.theoutreachteam.net/interest-form-tot" TargetMode="External"/><Relationship Id="rId39" Type="http://schemas.openxmlformats.org/officeDocument/2006/relationships/hyperlink" Target="https://www.theoutreachteam.net/" TargetMode="External"/><Relationship Id="rId40" Type="http://schemas.openxmlformats.org/officeDocument/2006/relationships/hyperlink" Target="https://la2050.org/job/the-outreach-team-petitioners-make-a-difference-dollars-27-dollars-28-hr-bonuses" TargetMode="External"/><Relationship Id="rId41" Type="http://schemas.openxmlformats.org/officeDocument/2006/relationships/hyperlink" Target="https://timesofsandiego.com/politics/2026/04/05/petition-to-repeal-parking-fees-at-balboa-park-cleared-to-gather-signatures/" TargetMode="External"/><Relationship Id="rId42" Type="http://schemas.openxmlformats.org/officeDocument/2006/relationships/hyperlink" Target="https://www.10news.com/news/local-news/san-diego-petition-drive-targets-trash-fee-balboa-park-parking-charges-on-mothers-day" TargetMode="External"/><Relationship Id="rId43" Type="http://schemas.openxmlformats.org/officeDocument/2006/relationships/hyperlink" Target="https://news.ballotpedia.org/2026/10/06/first-initiative-qualifies-for-the-2028-ballot-in-california/" TargetMode="External"/><Relationship Id="rId44" Type="http://schemas.openxmlformats.org/officeDocument/2006/relationships/hyperlink" Target="https://mayor.coloradosprings.gov/city-clerk/page/candidate-and-campaign-information" TargetMode="External"/><Relationship Id="rId45" Type="http://schemas.openxmlformats.org/officeDocument/2006/relationships/hyperlink" Target="https://mayor.coloradosprings.gov/city-clerk/page/candidate-and-campaign-information" TargetMode="External"/><Relationship Id="rId46" Type="http://schemas.openxmlformats.org/officeDocument/2006/relationships/hyperlink" Target="https://www.denvergov.org/files/assets/public/v/1/clerk-and-recorder/documents/elections/guides/2027-municipal-candidate-information-packet-pdf-version.pdf" TargetMode="External"/><Relationship Id="rId47" Type="http://schemas.openxmlformats.org/officeDocument/2006/relationships/hyperlink" Target="https://protectkidscolorado.org/" TargetMode="External"/><Relationship Id="rId48" Type="http://schemas.openxmlformats.org/officeDocument/2006/relationships/hyperlink" Target="https://coloradotimesrecorder.com/2026/02/activists-now-paying-for-signatures-for-anti-trans-ballot-measures/76656/" TargetMode="External"/><Relationship Id="rId49" Type="http://schemas.openxmlformats.org/officeDocument/2006/relationships/hyperlink" Target="https://completecolorado.com/2025/09/05/ballot-measures-protecting-kids-signature-gathering/" TargetMode="External"/><Relationship Id="rId50" Type="http://schemas.openxmlformats.org/officeDocument/2006/relationships/hyperlink" Target="https://kiowacountypress.net/content/14-measures-will-appear-colorados-statewide-ballot-2026" TargetMode="External"/><Relationship Id="rId51" Type="http://schemas.openxmlformats.org/officeDocument/2006/relationships/hyperlink" Target="https://news.ballotpedia.org/2026/06/26/signatures-submitted-for-colorado-initiative-for-the-right-to-purchase-and-sell-natural-gas-for-cooking-and-heating-in-homes-or-businesses/" TargetMode="External"/><Relationship Id="rId52" Type="http://schemas.openxmlformats.org/officeDocument/2006/relationships/hyperlink" Target="https://www.kunc.org/politics/2026-08-21/colorado-ballot-questions-meant-to-keep-special-interests-in-check-are-increasingly-created-by-them" TargetMode="External"/><Relationship Id="rId53" Type="http://schemas.openxmlformats.org/officeDocument/2006/relationships/hyperlink" Target="https://www.bhfs.com/insight/denvers-2026-ballot-takes-shape-key-initiatives-and-the-at-large-city-council-vacancy-election/" TargetMode="External"/><Relationship Id="rId54" Type="http://schemas.openxmlformats.org/officeDocument/2006/relationships/hyperlink" Target="https://www.denvergov.org/files/assets/public/v/1/clerk-and-recorder/documents/elections-division/2025/measures/force-feeding-sample-petition-stapled-copy-with-blue-manuscript.pdf" TargetMode="External"/><Relationship Id="rId55" Type="http://schemas.openxmlformats.org/officeDocument/2006/relationships/hyperlink" Target="https://landslidepolitical.recruitee.com/o/canvasser-hiring-immediately-denver-metro-area-25hr" TargetMode="External"/><Relationship Id="rId56" Type="http://schemas.openxmlformats.org/officeDocument/2006/relationships/hyperlink" Target="https://landslidepolitical.recruitee.com/" TargetMode="External"/><Relationship Id="rId57" Type="http://schemas.openxmlformats.org/officeDocument/2006/relationships/hyperlink" Target="https://landslidepolitical.recruitee.com/o/canvasser-hiring-immediately-denver-metro-area-25hr" TargetMode="External"/><Relationship Id="rId58" Type="http://schemas.openxmlformats.org/officeDocument/2006/relationships/hyperlink" Target="https://landslidepolitical.recruitee.com/o/canvasser-hiring-immediately-colorado-springs-25hr" TargetMode="External"/><Relationship Id="rId59" Type="http://schemas.openxmlformats.org/officeDocument/2006/relationships/hyperlink" Target="https://jobs.arena.run/jobs/paid-petition-circulator-reci-b-ea-nzesly5-h-kl/" TargetMode="External"/><Relationship Id="rId60" Type="http://schemas.openxmlformats.org/officeDocument/2006/relationships/hyperlink" Target="https://jobs.arena.run/jobs/paid-petition-circulator-reci-b-ea-nzesly5-h-kl/" TargetMode="External"/><Relationship Id="rId61" Type="http://schemas.openxmlformats.org/officeDocument/2006/relationships/hyperlink" Target="https://careers.arena.run/companies/job-post-2/jobs/64551809-killin-for-colorado-paid-petition-circulator" TargetMode="External"/><Relationship Id="rId62" Type="http://schemas.openxmlformats.org/officeDocument/2006/relationships/hyperlink" Target="https://onefairwage.org/dc" TargetMode="External"/><Relationship Id="rId63" Type="http://schemas.openxmlformats.org/officeDocument/2006/relationships/hyperlink" Target="https://onefairwage.org/dc" TargetMode="External"/><Relationship Id="rId64" Type="http://schemas.openxmlformats.org/officeDocument/2006/relationships/hyperlink" Target="https://hoodline.com/2026/07/d-c-wage-war-put-on-ice-after-25-ballot-bid-misses-mark/" TargetMode="External"/><Relationship Id="rId65" Type="http://schemas.openxmlformats.org/officeDocument/2006/relationships/hyperlink" Target="https://washingtonian.com/2026/07/17/advocates-of-25-minimum-wage-in-dc-blame-lawsuit-for-ballot-delay/" TargetMode="External"/><Relationship Id="rId66" Type="http://schemas.openxmlformats.org/officeDocument/2006/relationships/hyperlink" Target="https://dcboe.org/ballot-measures/current-measures" TargetMode="External"/><Relationship Id="rId67" Type="http://schemas.openxmlformats.org/officeDocument/2006/relationships/hyperlink" Target="https://dcboe.org/ballot-measures/current-measures" TargetMode="External"/><Relationship Id="rId68" Type="http://schemas.openxmlformats.org/officeDocument/2006/relationships/hyperlink" Target="https://www.dcboe.org/getmedia/b8938d4f-b7c7-4912-8e9a-6287b1783db1/FINAL-Circulating-and-Filing-Initiative-Ref-Measure-Petitions-12152025.pdf" TargetMode="External"/><Relationship Id="rId69" Type="http://schemas.openxmlformats.org/officeDocument/2006/relationships/hyperlink" Target="https://secure.actblue.com/donate/dcaffordability%20(committee%20donation%20page)" TargetMode="External"/><Relationship Id="rId70" Type="http://schemas.openxmlformats.org/officeDocument/2006/relationships/hyperlink" Target="https://www.ballardspahr.com/insights/alerts-and-articles/2026/07/july-2026-dc-multifamily-update" TargetMode="External"/><Relationship Id="rId71" Type="http://schemas.openxmlformats.org/officeDocument/2006/relationships/hyperlink" Target="https://www.ballardspahr.com/insights/alerts-and-articles/2026/09/sept-23-2026-multifamily-client-alert" TargetMode="External"/><Relationship Id="rId72" Type="http://schemas.openxmlformats.org/officeDocument/2006/relationships/hyperlink" Target="https://www.credaily.com/?p=222981" TargetMode="External"/><Relationship Id="rId73" Type="http://schemas.openxmlformats.org/officeDocument/2006/relationships/hyperlink" Target="https://www.popville.com/2026/08/force-fed-foie-gras-prohibition-dc-i86-qualifies-for-nov-ballot/" TargetMode="External"/><Relationship Id="rId74" Type="http://schemas.openxmlformats.org/officeDocument/2006/relationships/hyperlink" Target="https://careers.arena.run/companies/the-outreach-team-2/jobs/48573140-petitioner-help-expand-medicaid-in-florida%20(2025%20posting%20for%20the%202026%20drive;%20current%20status%20unknown)" TargetMode="External"/><Relationship Id="rId75" Type="http://schemas.openxmlformats.org/officeDocument/2006/relationships/hyperlink" Target="https://floridadecideshealthcare.org/" TargetMode="External"/><Relationship Id="rId76" Type="http://schemas.openxmlformats.org/officeDocument/2006/relationships/hyperlink" Target="https://www.beckerspayer.com/payer/medicaid/florida-medicaid-expansion-campaign-sets-sights-on-2028-ballot/" TargetMode="External"/><Relationship Id="rId77" Type="http://schemas.openxmlformats.org/officeDocument/2006/relationships/hyperlink" Target="https://floridaphoenix.com/2026/04/30/federal-judge-upholds-floridas-citizen-initiative-restrictions/" TargetMode="External"/><Relationship Id="rId78" Type="http://schemas.openxmlformats.org/officeDocument/2006/relationships/hyperlink" Target="https://careers.arena.run/companies/the-outreach-team-2/jobs/48573140-petitioner-help-expand-medicaid-in-florida" TargetMode="External"/><Relationship Id="rId79" Type="http://schemas.openxmlformats.org/officeDocument/2006/relationships/hyperlink" Target="https://www.votebrevard.gov/Voter-Data-and-Maps/Statistics-and-Data/Initiative-Petition-Totals" TargetMode="External"/><Relationship Id="rId80" Type="http://schemas.openxmlformats.org/officeDocument/2006/relationships/hyperlink" Target="https://initiativepetitions.dos.fl.gov/InitiativeForms/Volunteer/DSDE155A_999_2506_EN.pdf" TargetMode="External"/><Relationship Id="rId81" Type="http://schemas.openxmlformats.org/officeDocument/2006/relationships/hyperlink" Target="https://baynews9.com/fl/tampa/news/2026/07/17/fort-meade-recall-committee-submits-petitions-to-remove-city-leaders" TargetMode="External"/><Relationship Id="rId82" Type="http://schemas.openxmlformats.org/officeDocument/2006/relationships/hyperlink" Target="https://mynews13.com/fl/orlando/news/2026/07/17/fort-meade-recall-committee-submits-petitions-to-remove-city-leaders" TargetMode="External"/><Relationship Id="rId83" Type="http://schemas.openxmlformats.org/officeDocument/2006/relationships/hyperlink" Target="https://www.tampabay28.com/news/region-polk/recall-effort-targets-three-fort-meade-city-leaders-after-data-center-approval" TargetMode="External"/><Relationship Id="rId84" Type="http://schemas.openxmlformats.org/officeDocument/2006/relationships/hyperlink" Target="https://www.wlrn.org/government-politics/2026-02-26/stronger-miami-petition-ballot-miami" TargetMode="External"/><Relationship Id="rId85" Type="http://schemas.openxmlformats.org/officeDocument/2006/relationships/hyperlink" Target="https://www.wlrn.org/government-politics/2026-02-23/stronger-miami-government-petition-ballot-signatures" TargetMode="External"/><Relationship Id="rId86" Type="http://schemas.openxmlformats.org/officeDocument/2006/relationships/hyperlink" Target="https://www.cannabisbusinesstimes.com/us-states/florida/news/15836634/florida-may-have-3-options-to-legalize-adultuse-cannabis-in-2028" TargetMode="External"/><Relationship Id="rId87" Type="http://schemas.openxmlformats.org/officeDocument/2006/relationships/hyperlink" Target="https://www.cannabisbusinesstimes.com/us-states/florida/news/15836634/florida-may-have-3-options-to-legalize-adultuse-cannabis-in-2028" TargetMode="External"/><Relationship Id="rId88" Type="http://schemas.openxmlformats.org/officeDocument/2006/relationships/hyperlink" Target="https://www.cannabisbusinesstimes.com/us-states/florida/news/15836634/florida-may-have-3-options-to-legalize-adultuse-cannabis-in-2028" TargetMode="External"/><Relationship Id="rId89" Type="http://schemas.openxmlformats.org/officeDocument/2006/relationships/hyperlink" Target="https://www.orlandoweekly.com/cannabis/trulieve-pours-nearly-20m-into-floridas-latest-recreational-marijuana-effort-39293879/" TargetMode="External"/><Relationship Id="rId90" Type="http://schemas.openxmlformats.org/officeDocument/2006/relationships/hyperlink" Target="https://thecapitolist.com/statewide-prosecutors-ask-fdle-to-investigate-petition-circulators-tied-to-marijuana-initiative/" TargetMode="External"/><Relationship Id="rId91" Type="http://schemas.openxmlformats.org/officeDocument/2006/relationships/hyperlink" Target="https://www.votemonroeflkeys.gov/Candidates-Petitions/Initiative-Petitions" TargetMode="External"/><Relationship Id="rId92" Type="http://schemas.openxmlformats.org/officeDocument/2006/relationships/hyperlink" Target="https://jaxtoday.org/2026/02/02/constitutional-amendments-florida-failed/" TargetMode="External"/><Relationship Id="rId93" Type="http://schemas.openxmlformats.org/officeDocument/2006/relationships/hyperlink" Target="https://ballot-access.org/2026/06/22/june-2026-ballot-access-news-print-edition/" TargetMode="External"/><Relationship Id="rId94" Type="http://schemas.openxmlformats.org/officeDocument/2006/relationships/hyperlink" Target="https://www.sebastiandaily.com/community/supervisor-of-elections-receives-petitions-to-recall-damien-gilliams-pamela-parris-charles-mauti-24478/" TargetMode="External"/><Relationship Id="rId95" Type="http://schemas.openxmlformats.org/officeDocument/2006/relationships/hyperlink" Target="https://www.wsbtv.com/news/held-higher-standard-group-gathering-signatures-remove-hall-county-sheriff-office/BEOM4VVZIJC5PJTIKPVZ5HHIMU/" TargetMode="External"/><Relationship Id="rId96" Type="http://schemas.openxmlformats.org/officeDocument/2006/relationships/hyperlink" Target="https://www.civilbeat.org/2026/10/list-hawaiis-2026-charter-and-constitutional-amendments/" TargetMode="External"/><Relationship Id="rId97" Type="http://schemas.openxmlformats.org/officeDocument/2006/relationships/hyperlink" Target="https://news.ballotpedia.org/?p=51538" TargetMode="External"/><Relationship Id="rId98" Type="http://schemas.openxmlformats.org/officeDocument/2006/relationships/hyperlink" Target="https://idahocapitalsun.com/2026/04/24/group-seeking-to-end-idahos-abortion-ban-says-its-met-signature-goal-in-19-legislative-districts/" TargetMode="External"/><Relationship Id="rId99" Type="http://schemas.openxmlformats.org/officeDocument/2006/relationships/hyperlink" Target="https://www.eastidahonews.com/?p=849093" TargetMode="External"/><Relationship Id="rId100" Type="http://schemas.openxmlformats.org/officeDocument/2006/relationships/hyperlink" Target="https://newsletters.idahocapitalsun.com/p/initiative-ending-abortion-ban-qualifies-albertsons-trial-begins-cole-reappointed-to-cdh-board" TargetMode="External"/><Relationship Id="rId101" Type="http://schemas.openxmlformats.org/officeDocument/2006/relationships/hyperlink" Target="https://idahocapitalsun.com/2026/07/14/medical-cannabis-initiative-fails-to-qualify-for-idahos-general-election-ballot/" TargetMode="External"/><Relationship Id="rId102" Type="http://schemas.openxmlformats.org/officeDocument/2006/relationships/hyperlink" Target="https://www.boisestatepublicradio.org/politics-government/2026-07-15/pot-cannabis-weed-election-november-idaho-citizen-initiative" TargetMode="External"/><Relationship Id="rId103" Type="http://schemas.openxmlformats.org/officeDocument/2006/relationships/hyperlink" Target="https://app.chicagoelections.gov/" TargetMode="External"/><Relationship Id="rId104" Type="http://schemas.openxmlformats.org/officeDocument/2006/relationships/hyperlink" Target="https://chicago.suntimes.com/elections/2026/10/19/mayor-race-candidates-stacks-nominating-petitions-chicago-board-of-elections" TargetMode="External"/><Relationship Id="rId105" Type="http://schemas.openxmlformats.org/officeDocument/2006/relationships/hyperlink" Target="https://www.axios.com/local/chicago/2026/10/19/chicago-mayoral-hopefuls-file-petitions-amid-controversy" TargetMode="External"/><Relationship Id="rId106" Type="http://schemas.openxmlformats.org/officeDocument/2006/relationships/hyperlink" Target="https://news.wttw.com/node/54511" TargetMode="External"/><Relationship Id="rId107" Type="http://schemas.openxmlformats.org/officeDocument/2006/relationships/hyperlink" Target="https://www.stclaircountyil.gov/" TargetMode="External"/><Relationship Id="rId108" Type="http://schemas.openxmlformats.org/officeDocument/2006/relationships/hyperlink" Target="https://www.stclaircountyil.gov/webdocuments/departments/countyclerk/2027Resources/2027%20Election%20Calendar%20FINAL%20(1).pdf" TargetMode="External"/><Relationship Id="rId109" Type="http://schemas.openxmlformats.org/officeDocument/2006/relationships/hyperlink" Target="https://careers.arena.run/companies/job-post-2/jobs/60314310-touchstone-llc-signature-gathering-canvassers-needed-25-30-hour-chicago-il" TargetMode="External"/><Relationship Id="rId110" Type="http://schemas.openxmlformats.org/officeDocument/2006/relationships/hyperlink" Target="https://careers.arena.run/companies/job-post-2/jobs/60314310-touchstone-llc-signature-gathering-canvassers-needed-25-30-hour-chicago-il" TargetMode="External"/><Relationship Id="rId111" Type="http://schemas.openxmlformats.org/officeDocument/2006/relationships/hyperlink" Target="https://indianacapitalchronicle.com/briefs/independent-secretary-of-state-hopeful-says-he-has-the-signatures/" TargetMode="External"/><Relationship Id="rId112" Type="http://schemas.openxmlformats.org/officeDocument/2006/relationships/hyperlink" Target="https://www.newsfromthestates.com/node/426505" TargetMode="External"/><Relationship Id="rId113" Type="http://schemas.openxmlformats.org/officeDocument/2006/relationships/hyperlink" Target="https://www.minneapolismn.gov/government/boards-and-commissions/charter-commission/amending-the-charter/" TargetMode="External"/><Relationship Id="rId114" Type="http://schemas.openxmlformats.org/officeDocument/2006/relationships/hyperlink" Target="https://www.kwit.org/podcast/spm-news/2026-02-16/spencer-iowa-residents-force-special-election-for-city-council-post" TargetMode="External"/><Relationship Id="rId115" Type="http://schemas.openxmlformats.org/officeDocument/2006/relationships/hyperlink" Target="https://www.kshb.com/news/local-news/data-centers/ottawa-commissioners-face-deadline-after-data-center-petition-gains-enough-signatures" TargetMode="External"/><Relationship Id="rId116" Type="http://schemas.openxmlformats.org/officeDocument/2006/relationships/hyperlink" Target="https://www.kshb.com/news/local-news/data-centers/we-the-people-ottawa-ballot-petition-seeks-ordinance-to-ban-future-data-center-developments" TargetMode="External"/><Relationship Id="rId117" Type="http://schemas.openxmlformats.org/officeDocument/2006/relationships/hyperlink" Target="https://ballot-access.org/2026/06/22/june-2026-ballot-access-news-print-edition/" TargetMode="External"/><Relationship Id="rId118" Type="http://schemas.openxmlformats.org/officeDocument/2006/relationships/hyperlink" Target="https://www.ksla.com/2026/05/11/supporters-gather-government-plaza-recall-petition-targets-gov-jeff-landry/" TargetMode="External"/><Relationship Id="rId119" Type="http://schemas.openxmlformats.org/officeDocument/2006/relationships/hyperlink" Target="https://www.knoe.com/2026/06/10/gov-jeff-landry-attorney-general-liz-murrill-recall-comes-nela/" TargetMode="External"/><Relationship Id="rId120" Type="http://schemas.openxmlformats.org/officeDocument/2006/relationships/hyperlink" Target="https://www.maine.gov/sos/elections-voting/peoples-veto-or-citizens-initiative-resources/current-citizen-initiatives-and-peoples-vetoes" TargetMode="External"/><Relationship Id="rId121" Type="http://schemas.openxmlformats.org/officeDocument/2006/relationships/hyperlink" Target="https://www.maine.gov/sos/elections-voting/peoples-veto-or-citizens-initiative-resources/current-citizen-initiatives-and-peoples-vetoes" TargetMode="External"/><Relationship Id="rId122" Type="http://schemas.openxmlformats.org/officeDocument/2006/relationships/hyperlink" Target="https://www.cannabisbusinesstimes.com/us-states/maine/news/15814590/maine-anticannabis-signature-gatherers-allowed-to-lie-about-petition" TargetMode="External"/><Relationship Id="rId123" Type="http://schemas.openxmlformats.org/officeDocument/2006/relationships/hyperlink" Target="https://maineallcare.org/%20;%20https://healthcareforallmaine.org" TargetMode="External"/><Relationship Id="rId124" Type="http://schemas.openxmlformats.org/officeDocument/2006/relationships/hyperlink" Target="https://www.maine.gov/sos/elections-voting/peoples-veto-or-citizens-initiative-resources/current-citizen-initiatives-and-peoples-vetoes" TargetMode="External"/><Relationship Id="rId125" Type="http://schemas.openxmlformats.org/officeDocument/2006/relationships/hyperlink" Target="https://maineallcare.org/?p=158116" TargetMode="External"/><Relationship Id="rId126" Type="http://schemas.openxmlformats.org/officeDocument/2006/relationships/hyperlink" Target="https://www.maine.gov/sos/elections-voting/peoples-veto-or-citizens-initiative-resources/current-citizen-initiatives-and-peoples-vetoes" TargetMode="External"/><Relationship Id="rId127" Type="http://schemas.openxmlformats.org/officeDocument/2006/relationships/hyperlink" Target="https://www.maine.gov/sos/elections-voting/peoples-veto-or-citizens-initiative-resources/current-citizen-initiatives-and-peoples-vetoes" TargetMode="External"/><Relationship Id="rId128" Type="http://schemas.openxmlformats.org/officeDocument/2006/relationships/hyperlink" Target="https://www.pressherald.com/?p=7653907" TargetMode="External"/><Relationship Id="rId129" Type="http://schemas.openxmlformats.org/officeDocument/2006/relationships/hyperlink" Target="https://www.mymcmedia.org/?p=194914" TargetMode="External"/><Relationship Id="rId130" Type="http://schemas.openxmlformats.org/officeDocument/2006/relationships/hyperlink" Target="https://montgomeryperspective.com/wp-content/uploads/2026/08/Committee-Control-MoCo-Spending-v-Montgo-BOE-PETITION-for-Judicial-Review-1-DOCKETED.pdf" TargetMode="External"/><Relationship Id="rId131" Type="http://schemas.openxmlformats.org/officeDocument/2006/relationships/hyperlink" Target="https://www.theoutreachteam.net/interest-form-tot%20(June%202026%20posting,%20positions%20ran%20through%20June%2019,%20possible%20extension)" TargetMode="External"/><Relationship Id="rId132" Type="http://schemas.openxmlformats.org/officeDocument/2006/relationships/hyperlink" Target="https://afscmemd.org/" TargetMode="External"/><Relationship Id="rId133" Type="http://schemas.openxmlformats.org/officeDocument/2006/relationships/hyperlink" Target="https://www.wmdt.com/?p=4615385" TargetMode="External"/><Relationship Id="rId134" Type="http://schemas.openxmlformats.org/officeDocument/2006/relationships/hyperlink" Target="https://www.monmouth.edu/career-development/wp-json/wp/v2/ch_job/20163" TargetMode="External"/><Relationship Id="rId135" Type="http://schemas.openxmlformats.org/officeDocument/2006/relationships/hyperlink" Target="https://afscmemd.org/press-room/statement-validation-petition-signatures-wicomico-county-board" TargetMode="External"/><Relationship Id="rId136" Type="http://schemas.openxmlformats.org/officeDocument/2006/relationships/hyperlink" Target="https://www.wypr.org/wypr-news/2026-07-23/how-frederick-countys-first-citizen-led-referendum-failed-in-court" TargetMode="External"/><Relationship Id="rId137" Type="http://schemas.openxmlformats.org/officeDocument/2006/relationships/hyperlink" Target="https://hoodline.com/2026/06/frederick-data-center-brawl-crashes-into-maryland-s-high-court/" TargetMode="External"/><Relationship Id="rId138" Type="http://schemas.openxmlformats.org/officeDocument/2006/relationships/hyperlink" Target="https://www.bostonglobe.com/2026/09/22/newsletters/harold-hubschman-ballot-questions-signatures-the-scrum/" TargetMode="External"/><Relationship Id="rId139" Type="http://schemas.openxmlformats.org/officeDocument/2006/relationships/hyperlink" Target="https://foleyhoag.com/news-and-insights/blogs/state-ag-insights/2026/september/initial-massachusetts-2028-ballot-questions-target-taxes-technology-and-energy/" TargetMode="External"/><Relationship Id="rId140" Type="http://schemas.openxmlformats.org/officeDocument/2006/relationships/hyperlink" Target="https://foleyhoag.com/news-and-insights/blogs/state-ag-insights/2026/september/initial-massachusetts-2028-ballot-questions-target-taxes-technology-and-energy/" TargetMode="External"/><Relationship Id="rId141" Type="http://schemas.openxmlformats.org/officeDocument/2006/relationships/hyperlink" Target="https://www.mass.gov/info-details/ballot-initiatives-submitted-for-the-2028-biennial-statewide-election-proposed-laws-and-2030-biennial-statewide-election-proposed-constitutional-amendments" TargetMode="External"/><Relationship Id="rId142" Type="http://schemas.openxmlformats.org/officeDocument/2006/relationships/hyperlink" Target="https://www.wbur.org/news/2026/06/19/mass-income-tax-ballot-question-world-cup" TargetMode="External"/><Relationship Id="rId143" Type="http://schemas.openxmlformats.org/officeDocument/2006/relationships/hyperlink" Target="https://www.boston.com/news/local-news/2026/08/26/a-new-ballot-initiative-takes-aim-at-massachusetts-data-centers/" TargetMode="External"/><Relationship Id="rId144" Type="http://schemas.openxmlformats.org/officeDocument/2006/relationships/hyperlink" Target="https://news.ballotpedia.org/2026/08/13/massachusetts-initiative-would-require-local-voter-approval-and-other-conditions-for-data-center-permits-the-second-statewide-proposal-following-ohio/" TargetMode="External"/><Relationship Id="rId145" Type="http://schemas.openxmlformats.org/officeDocument/2006/relationships/hyperlink" Target="https://foleyhoag.com/news-and-insights/blogs/state-ag-insights/2026/september/initial-massachusetts-2028-ballot-questions-target-taxes-technology-and-energy/" TargetMode="External"/><Relationship Id="rId146" Type="http://schemas.openxmlformats.org/officeDocument/2006/relationships/hyperlink" Target="https://www.signaturedrive.com/%20(named%20in%20the%20Boston%20Globe;%20not%20fetched)" TargetMode="External"/><Relationship Id="rId147" Type="http://schemas.openxmlformats.org/officeDocument/2006/relationships/hyperlink" Target="https://foleyhoag.com/news-and-insights/blogs/state-ag-insights/2026/september/initial-massachusetts-2028-ballot-questions-target-taxes-technology-and-energy/" TargetMode="External"/><Relationship Id="rId148" Type="http://schemas.openxmlformats.org/officeDocument/2006/relationships/hyperlink" Target="https://www.mass.gov/info-details/ballot-initiatives-submitted-for-the-2028-biennial-statewide-election-proposed-laws-and-2030-biennial-statewide-election-proposed-constitutional-amendments" TargetMode="External"/><Relationship Id="rId149" Type="http://schemas.openxmlformats.org/officeDocument/2006/relationships/hyperlink" Target="https://www.bostonglobe.com/2026/09/22/newsletters/harold-hubschman-ballot-questions-signatures-the-scrum/" TargetMode="External"/><Relationship Id="rId150" Type="http://schemas.openxmlformats.org/officeDocument/2006/relationships/hyperlink" Target="https://www.mass.gov/info-details/ballot-initiatives-submitted-for-the-2028-biennial-statewide-election-proposed-laws-and-2030-biennial-statewide-election-proposed-constitutional-amendments" TargetMode="External"/><Relationship Id="rId151" Type="http://schemas.openxmlformats.org/officeDocument/2006/relationships/hyperlink" Target="https://foleyhoag.com/news-and-insights/blogs/state-ag-insights/2026/september/initial-massachusetts-2028-ballot-questions-target-taxes-technology-and-energy/" TargetMode="External"/><Relationship Id="rId152" Type="http://schemas.openxmlformats.org/officeDocument/2006/relationships/hyperlink" Target="https://www.bostonglobe.com/2026/09/22/newsletters/harold-hubschman-ballot-questions-signatures-the-scrum/" TargetMode="External"/><Relationship Id="rId153" Type="http://schemas.openxmlformats.org/officeDocument/2006/relationships/hyperlink" Target="https://www.bostonglobe.com/2026/09/22/newsletters/harold-hubschman-ballot-questions-signatures-the-scrum/" TargetMode="External"/><Relationship Id="rId154" Type="http://schemas.openxmlformats.org/officeDocument/2006/relationships/hyperlink" Target="https://www.bostonglobe.com/2026/09/22/newsletters/harold-hubschman-ballot-questions-signatures-the-scrum/" TargetMode="External"/><Relationship Id="rId155" Type="http://schemas.openxmlformats.org/officeDocument/2006/relationships/hyperlink" Target="https://bankerandtradesman.com/rent-control-foes-say-grassroots-claims-about-ballot-question-were-misleading" TargetMode="External"/><Relationship Id="rId156" Type="http://schemas.openxmlformats.org/officeDocument/2006/relationships/hyperlink" Target="https://www.wbur.org/news/2026/09/04/massachusetts-abortion-law-2028-refendum" TargetMode="External"/><Relationship Id="rId157" Type="http://schemas.openxmlformats.org/officeDocument/2006/relationships/hyperlink" Target="https://wbsm.com/massachusetts-abortion-law-repeal-2028/" TargetMode="External"/><Relationship Id="rId158" Type="http://schemas.openxmlformats.org/officeDocument/2006/relationships/hyperlink" Target="https://www.liveaction.org/news/massachusetts-group-seeks-overturn-abortion-law" TargetMode="External"/><Relationship Id="rId159" Type="http://schemas.openxmlformats.org/officeDocument/2006/relationships/hyperlink" Target="https://careers.arena.run/companies/movement-builders/jobs/57300666-petition-circulator" TargetMode="External"/><Relationship Id="rId160" Type="http://schemas.openxmlformats.org/officeDocument/2006/relationships/hyperlink" Target="https://careers.arena.run/companies/the-outreach-team-2" TargetMode="External"/><Relationship Id="rId161" Type="http://schemas.openxmlformats.org/officeDocument/2006/relationships/hyperlink" Target="https://careers.arena.run/companies/the-outreach-team-2/jobs/58881847-petitioner-work-to-protect-democracy" TargetMode="External"/><Relationship Id="rId162" Type="http://schemas.openxmlformats.org/officeDocument/2006/relationships/hyperlink" Target="https://jobs.recorder.com/job/970cd2a6-5876-445f-a3c7-cf1d31536102/petition-circulator" TargetMode="External"/><Relationship Id="rId163" Type="http://schemas.openxmlformats.org/officeDocument/2006/relationships/hyperlink" Target="https://jobs.gazettenet.com/job/92b385da-b99a-48cd-b22e-9281f552447e/support-staff-protect-democracy" TargetMode="External"/><Relationship Id="rId164" Type="http://schemas.openxmlformats.org/officeDocument/2006/relationships/hyperlink" Target="https://bridgemi.com/michigan-government/michigan-ranked-choice-voting-group-ends-2026-ballot-effort/" TargetMode="External"/><Relationship Id="rId165" Type="http://schemas.openxmlformats.org/officeDocument/2006/relationships/hyperlink" Target="https://www.wkar.org/election-2026/2026-07-08/recall-effort-continues-against-city-of-mason-mayor" TargetMode="External"/><Relationship Id="rId166" Type="http://schemas.openxmlformats.org/officeDocument/2006/relationships/hyperlink" Target="https://www.newsweek.com/elected-officials-face-recalls-nationwide-data-center-support-12400196" TargetMode="External"/><Relationship Id="rId167" Type="http://schemas.openxmlformats.org/officeDocument/2006/relationships/hyperlink" Target="https://michiganadvance.com/?p=111313" TargetMode="External"/><Relationship Id="rId168" Type="http://schemas.openxmlformats.org/officeDocument/2006/relationships/hyperlink" Target="https://www.newsfromthestates.com/node/426976" TargetMode="External"/><Relationship Id="rId169" Type="http://schemas.openxmlformats.org/officeDocument/2006/relationships/hyperlink" Target="https://www.newsfromthestates.com/node/432739" TargetMode="External"/><Relationship Id="rId170" Type="http://schemas.openxmlformats.org/officeDocument/2006/relationships/hyperlink" Target="https://bridgemi.com/?p=71740" TargetMode="External"/><Relationship Id="rId171" Type="http://schemas.openxmlformats.org/officeDocument/2006/relationships/hyperlink" Target="https://www.votebeat.org/michigan/2026/01/20/petition-signature-gathering-lying-ballot-questions-constitutional-amendments/" TargetMode="External"/><Relationship Id="rId172" Type="http://schemas.openxmlformats.org/officeDocument/2006/relationships/hyperlink" Target="https://michiganadvance.com/2026/08/24/board-of-state-canvassers-deadlocks-on-citizens-only-voting-measure-setting-up-court-fight/" TargetMode="External"/><Relationship Id="rId173" Type="http://schemas.openxmlformats.org/officeDocument/2006/relationships/hyperlink" Target="https://michiganadvance.com/2026/07/24/board-of-state-canvassers-finds-michigans-money-out-of-politics-effort-has-sufficient-valid-signatures/" TargetMode="External"/><Relationship Id="rId174" Type="http://schemas.openxmlformats.org/officeDocument/2006/relationships/hyperlink" Target="https://www.michiganpublic.org/politics-government/2026-09-04/michigans-november-2026-ballot-is-official-includes-two-questions-for-all-voters" TargetMode="External"/><Relationship Id="rId175" Type="http://schemas.openxmlformats.org/officeDocument/2006/relationships/hyperlink" Target="https://bridgemi.com/michigan-government/michigan-petition-groups-begin-final-push-what-will-make-the-ballot/" TargetMode="External"/><Relationship Id="rId176" Type="http://schemas.openxmlformats.org/officeDocument/2006/relationships/hyperlink" Target="https://www.minneapolismn.gov/government/boards-and-commissions/charter-commission/amending-the-charter/" TargetMode="External"/><Relationship Id="rId177" Type="http://schemas.openxmlformats.org/officeDocument/2006/relationships/hyperlink" Target="https://www.kwit.org/podcast/spm-news/2026-02-16/spencer-iowa-residents-force-special-election-for-city-council-post" TargetMode="External"/><Relationship Id="rId178" Type="http://schemas.openxmlformats.org/officeDocument/2006/relationships/hyperlink" Target="https://mississippitoday.org/2026/02/04/senate-measure-to-restore-mississippi-voters-right-to-ballot-initiative-advances/" TargetMode="External"/><Relationship Id="rId179" Type="http://schemas.openxmlformats.org/officeDocument/2006/relationships/hyperlink" Target="https://ballot-access.org/2026/06/22/june-2026-ballot-access-news-print-edition/" TargetMode="External"/><Relationship Id="rId180" Type="http://schemas.openxmlformats.org/officeDocument/2006/relationships/hyperlink" Target="https://missouriindependent.com/2026/03/31/missouri-public-education-amendment-campaign-stops-signature-push-plans-2028-return/" TargetMode="External"/><Relationship Id="rId181" Type="http://schemas.openxmlformats.org/officeDocument/2006/relationships/hyperlink" Target="https://news.ballotpedia.org/2026/05/05/signatures-submitted-for-missouri-initiative-requiring-voter-approval-for-certain-legislative-changes-to-initiative-process-and-voter-approved-laws/" TargetMode="External"/><Relationship Id="rId182" Type="http://schemas.openxmlformats.org/officeDocument/2006/relationships/hyperlink" Target="https://www.krcu.org/2026-09-03/missouri-supreme-court-puts-respect-missouri-voters-plan-on-november-ballot" TargetMode="External"/><Relationship Id="rId183" Type="http://schemas.openxmlformats.org/officeDocument/2006/relationships/hyperlink" Target="https://kctv5.com/2026/06/11/ai-data-center-vote-fuels-recall-push-independence-councilman-now-faces-election-keep-his-seat/" TargetMode="External"/><Relationship Id="rId184" Type="http://schemas.openxmlformats.org/officeDocument/2006/relationships/hyperlink" Target="https://www.kshb.com/news/local-news/independence-mo-councilman-recalled-by-voters-in-his-district-after-his-vote-for-data-center-tax-incentives" TargetMode="External"/><Relationship Id="rId185" Type="http://schemas.openxmlformats.org/officeDocument/2006/relationships/hyperlink" Target="https://www.kcur.org/politics-elections-and-government/2026-08-18/missouri-ballot-proposals-respect-mo-voters-redistricting-signatures-blocked" TargetMode="External"/><Relationship Id="rId186" Type="http://schemas.openxmlformats.org/officeDocument/2006/relationships/hyperlink" Target="https://themissouritimes.com/breaking-missouri-supreme-court-orders-initiative-petition-back-on-november-ballot/" TargetMode="External"/><Relationship Id="rId187" Type="http://schemas.openxmlformats.org/officeDocument/2006/relationships/hyperlink" Target="https://labortribune.com/with-labors-help-305k-signatures-submitted-on-referendum-challenging-missouris-gerrymandered-congressional-maps/" TargetMode="External"/><Relationship Id="rId188" Type="http://schemas.openxmlformats.org/officeDocument/2006/relationships/hyperlink" Target="https://electionlawblog.org/2026/denny-hoskins-isnt-verifying-one-third-of-signatures-for-vote-on-missouris-gerrymandered-map/" TargetMode="External"/><Relationship Id="rId189" Type="http://schemas.openxmlformats.org/officeDocument/2006/relationships/hyperlink" Target="https://www.democracydocket.com/?p=65068" TargetMode="External"/><Relationship Id="rId190" Type="http://schemas.openxmlformats.org/officeDocument/2006/relationships/hyperlink" Target="https://news.ballotpedia.org/2026/06/17/campaign-behind-a-ballot-initiative-to-prohibit-corporations-from-political-spending-in-montana-submits-signatures/" TargetMode="External"/><Relationship Id="rId191" Type="http://schemas.openxmlformats.org/officeDocument/2006/relationships/hyperlink" Target="https://news.ballotpedia.org/2026/06/23/campaign-behind-montana-ballot-measure-to-guarantee-impartial-predictable-transparent-and-expeditious-processes-for-ballot-initiatives-submits-signatures/" TargetMode="External"/><Relationship Id="rId192" Type="http://schemas.openxmlformats.org/officeDocument/2006/relationships/hyperlink" Target="https://sosmt.gov/docs/24/ballot-issues/69573/2025-26_ballot_issues__signature_gathering" TargetMode="External"/><Relationship Id="rId193" Type="http://schemas.openxmlformats.org/officeDocument/2006/relationships/hyperlink" Target="https://www.wowt.com/2026/10/16/antithesis-that-chaos-15-petition-effort-will-soon-launch-seeking-nebraskas-2028-ballot/" TargetMode="External"/><Relationship Id="rId194" Type="http://schemas.openxmlformats.org/officeDocument/2006/relationships/hyperlink" Target="https://www.newsfromthestates.com/node/433107" TargetMode="External"/><Relationship Id="rId195" Type="http://schemas.openxmlformats.org/officeDocument/2006/relationships/hyperlink" Target="https://www.wowt.com/2026/07/02/respect-nebraska-voters-submits-more-than-186k-signatures-november-ballot-initiative/" TargetMode="External"/><Relationship Id="rId196" Type="http://schemas.openxmlformats.org/officeDocument/2006/relationships/hyperlink" Target="https://www.wowt.com/2026/07/02/backers-online-sports-betting-nebraska-submit-signatures-get-2026-ballot/" TargetMode="External"/><Relationship Id="rId197" Type="http://schemas.openxmlformats.org/officeDocument/2006/relationships/hyperlink" Target="https://nebraskapublicmedia.org/es/news/news-articles/online-gambling-petition-on-track-to-make-nebraskas-ballot-with-multi-million-dollar-campaign/" TargetMode="External"/><Relationship Id="rId198" Type="http://schemas.openxmlformats.org/officeDocument/2006/relationships/hyperlink" Target="https://www.legalsportsreport.com/268438/nebraska-online-sports-betting-signatures-delivered-before-deadline/" TargetMode="External"/><Relationship Id="rId199" Type="http://schemas.openxmlformats.org/officeDocument/2006/relationships/hyperlink" Target="https://nevadacurrent.com/?p=219001" TargetMode="External"/><Relationship Id="rId200" Type="http://schemas.openxmlformats.org/officeDocument/2006/relationships/hyperlink" Target="https://nevadacurrent.com/?p=219689" TargetMode="External"/><Relationship Id="rId201" Type="http://schemas.openxmlformats.org/officeDocument/2006/relationships/hyperlink" Target="https://thenevadaindependent.com/article/tracking-2026-nevada-ballot-measures-whats-up-for-a-vote-and-whats-still-in-limbo" TargetMode="External"/><Relationship Id="rId202" Type="http://schemas.openxmlformats.org/officeDocument/2006/relationships/hyperlink" Target="https://nevadacurrent.com/?p=219689" TargetMode="External"/><Relationship Id="rId203" Type="http://schemas.openxmlformats.org/officeDocument/2006/relationships/hyperlink" Target="https://www.salemnh.gov/DocumentCenter/View/6408/Submitttal-Guidelines-for-Citizen-Petition-Warrant-Articles---2026" TargetMode="External"/><Relationship Id="rId204" Type="http://schemas.openxmlformats.org/officeDocument/2006/relationships/hyperlink" Target="https://insidernj.com/press-release/hoboken-rent-control-referendum-petitions-submited-to-clerk-for-certification-clock-starts-ticking-on-special-election" TargetMode="External"/><Relationship Id="rId205" Type="http://schemas.openxmlformats.org/officeDocument/2006/relationships/hyperlink" Target="https://sourcenm.com/2026/09/16/new-mexico-forward-party-asks-us-supreme-court-to-intervene-in-ballot-access-lawsuit/" TargetMode="External"/><Relationship Id="rId206" Type="http://schemas.openxmlformats.org/officeDocument/2006/relationships/hyperlink" Target="https://codes.findlaw.com/ny/election-law/eln-sect-6-136/" TargetMode="External"/><Relationship Id="rId207" Type="http://schemas.openxmlformats.org/officeDocument/2006/relationships/hyperlink" Target="https://www.gp.org/gpny_now_hiring_petition_circulators" TargetMode="External"/><Relationship Id="rId208" Type="http://schemas.openxmlformats.org/officeDocument/2006/relationships/hyperlink" Target="https://ballot-access.org/?p=93821" TargetMode="External"/><Relationship Id="rId209" Type="http://schemas.openxmlformats.org/officeDocument/2006/relationships/hyperlink" Target="https://www.wunc.org/politics/2025-07-28/nc-forward-party-campaign-ballot" TargetMode="External"/><Relationship Id="rId210" Type="http://schemas.openxmlformats.org/officeDocument/2006/relationships/hyperlink" Target="https://ncsbe.gov/candidates/petitions/petition-recognition-political-party" TargetMode="External"/><Relationship Id="rId211" Type="http://schemas.openxmlformats.org/officeDocument/2006/relationships/hyperlink" Target="https://www.sos.nd.gov/elections/voter/ballot-measures/petitions-circulation" TargetMode="External"/><Relationship Id="rId212" Type="http://schemas.openxmlformats.org/officeDocument/2006/relationships/hyperlink" Target="https://www.sos.nd.gov/elections/voter/ballot-measures/petitions-circulation" TargetMode="External"/><Relationship Id="rId213" Type="http://schemas.openxmlformats.org/officeDocument/2006/relationships/hyperlink" Target="https://www.sos.nd.gov/elections/voter/ballot-measures/measures-ballot" TargetMode="External"/><Relationship Id="rId214" Type="http://schemas.openxmlformats.org/officeDocument/2006/relationships/hyperlink" Target="https://sos.nd.gov/news" TargetMode="External"/><Relationship Id="rId215" Type="http://schemas.openxmlformats.org/officeDocument/2006/relationships/hyperlink" Target="https://ohioequalrights.org/" TargetMode="External"/><Relationship Id="rId216" Type="http://schemas.openxmlformats.org/officeDocument/2006/relationships/hyperlink" Target="https://thebuckeyeflame.com/2026/06/17/organizers-postpone-ohio-equal-rights-ballot-initiatives-to-2027/" TargetMode="External"/><Relationship Id="rId217" Type="http://schemas.openxmlformats.org/officeDocument/2006/relationships/hyperlink" Target="https://www.dailysignal.com/2026/06/29/ohio-amendments-nov-2027/" TargetMode="External"/><Relationship Id="rId218" Type="http://schemas.openxmlformats.org/officeDocument/2006/relationships/hyperlink" Target="https://www.yahoo.com/news/articles/ohio-voters-could-decide-property-065823650.html" TargetMode="External"/><Relationship Id="rId219" Type="http://schemas.openxmlformats.org/officeDocument/2006/relationships/hyperlink" Target="https://signalcleveland.org/ohio-property-tax-amendment-abolish-ends-2026-ballot-bid-targets-2027-election/" TargetMode="External"/><Relationship Id="rId220" Type="http://schemas.openxmlformats.org/officeDocument/2006/relationships/hyperlink" Target="https://signalcleveland.org/ohio-property-tax-abolition-campaign-hits-305000-signatures-heres-what-that-means-for-its-chances/" TargetMode="External"/><Relationship Id="rId221" Type="http://schemas.openxmlformats.org/officeDocument/2006/relationships/hyperlink" Target="https://www.wosu.org/2026-06-05/amendment-to-abolish-ohio-property-taxes-wont-be-on-fall-ballot" TargetMode="External"/><Relationship Id="rId222" Type="http://schemas.openxmlformats.org/officeDocument/2006/relationships/hyperlink" Target="https://ohiocapitaljournal.com/?p=38817" TargetMode="External"/><Relationship Id="rId223" Type="http://schemas.openxmlformats.org/officeDocument/2006/relationships/hyperlink" Target="https://www.fox19.com/2026/03/18/massive-overhaul-ohio-cannabis-laws-way-after-group-fails-stop-sb-56" TargetMode="External"/><Relationship Id="rId224" Type="http://schemas.openxmlformats.org/officeDocument/2006/relationships/hyperlink" Target="https://www.yahoo.com/news/articles/campaign-legalize-cannabis-oklahoma-start-104322662.html" TargetMode="External"/><Relationship Id="rId225" Type="http://schemas.openxmlformats.org/officeDocument/2006/relationships/hyperlink" Target="https://www.news9.com/oklahoma-politics/oklahoma-recreational-marijuana-petition-fails-to-qualify-ballot" TargetMode="External"/><Relationship Id="rId226" Type="http://schemas.openxmlformats.org/officeDocument/2006/relationships/hyperlink" Target="https://www.news9.com/oklahoma-politics/signed-petitions-open-primaries-oklahoma-delivered" TargetMode="External"/><Relationship Id="rId227" Type="http://schemas.openxmlformats.org/officeDocument/2006/relationships/hyperlink" Target="https://www.kgou.org/politics-and-government/2026-07-15/oklahoma-supreme-court-to-decide-legality-of-state-question-signature-purge" TargetMode="External"/><Relationship Id="rId228" Type="http://schemas.openxmlformats.org/officeDocument/2006/relationships/hyperlink" Target="https://www.okgazette.com/news/state/state-question-836-campaign-begins-gathering-signatures/" TargetMode="External"/><Relationship Id="rId229" Type="http://schemas.openxmlformats.org/officeDocument/2006/relationships/hyperlink" Target="https://www.publicradiotulsa.org/local-regional/2026-10-07/oklahoma-supreme-court-declares-tax-property-state-question-unconstitutional" TargetMode="External"/><Relationship Id="rId230" Type="http://schemas.openxmlformats.org/officeDocument/2006/relationships/hyperlink" Target="https://oklahomaconstitution.com/ns.php?nid=1461" TargetMode="External"/><Relationship Id="rId231" Type="http://schemas.openxmlformats.org/officeDocument/2006/relationships/hyperlink" Target="https://www.oregonvotes.gov/irr" TargetMode="External"/><Relationship Id="rId232" Type="http://schemas.openxmlformats.org/officeDocument/2006/relationships/hyperlink" Target="https://content.govdelivery.com/accounts/ORSOS/bulletins/42f3440" TargetMode="External"/><Relationship Id="rId233" Type="http://schemas.openxmlformats.org/officeDocument/2006/relationships/hyperlink" Target="https://content.govdelivery.com/accounts/ORSOS/bulletins/42939f4" TargetMode="External"/><Relationship Id="rId234" Type="http://schemas.openxmlformats.org/officeDocument/2006/relationships/hyperlink" Target="https://www.oregonvotes.gov/irr" TargetMode="External"/><Relationship Id="rId235" Type="http://schemas.openxmlformats.org/officeDocument/2006/relationships/hyperlink" Target="https://content.govdelivery.com/accounts/ORSOS/bulletins/425b67e" TargetMode="External"/><Relationship Id="rId236" Type="http://schemas.openxmlformats.org/officeDocument/2006/relationships/hyperlink" Target="https://content.govdelivery.com/accounts/ORSOS/bulletins/426f27a" TargetMode="External"/><Relationship Id="rId237" Type="http://schemas.openxmlformats.org/officeDocument/2006/relationships/hyperlink" Target="https://content.govdelivery.com/accounts/ORSOS/bulletins/41d6933" TargetMode="External"/><Relationship Id="rId238" Type="http://schemas.openxmlformats.org/officeDocument/2006/relationships/hyperlink" Target="https://www.oregonvotes.gov/irr" TargetMode="External"/><Relationship Id="rId239" Type="http://schemas.openxmlformats.org/officeDocument/2006/relationships/hyperlink" Target="https://content.govdelivery.com/accounts/ORSOS/bulletins/4245ab7" TargetMode="External"/><Relationship Id="rId240" Type="http://schemas.openxmlformats.org/officeDocument/2006/relationships/hyperlink" Target="https://sos.oregon.gov/elections/pages/initiatives-referendums-referrals.aspx" TargetMode="External"/><Relationship Id="rId241" Type="http://schemas.openxmlformats.org/officeDocument/2006/relationships/hyperlink" Target="https://content.govdelivery.com/accounts/ORSOS/bulletins/42475be" TargetMode="External"/><Relationship Id="rId242" Type="http://schemas.openxmlformats.org/officeDocument/2006/relationships/hyperlink" Target="https://www.opb.org/article/2026/10/08/oregon-wealth-tax-2028-ballot/" TargetMode="External"/><Relationship Id="rId243" Type="http://schemas.openxmlformats.org/officeDocument/2006/relationships/hyperlink" Target="https://oregoncapitalchronicle.com/2026/10/08/progressive-groups-unions-announce-wealth-tax-initiative-aimed-at-2028-oregon-ballot/" TargetMode="External"/><Relationship Id="rId244" Type="http://schemas.openxmlformats.org/officeDocument/2006/relationships/hyperlink" Target="https://news.ballotpedia.org/2026/07/27/2026-will-be-the-first-even-numbered-year-since-1966-without-an-initiative-on-the-general-election-ballot-in-oregon-after-an-initiative-to-ban-hunting-fails-to-qualify/" TargetMode="External"/><Relationship Id="rId245" Type="http://schemas.openxmlformats.org/officeDocument/2006/relationships/hyperlink" Target="https://www.nraila.org/articles/20260529/oregon-initiative-petition-28-threat-to-hunting-fishing-and-outdoor-heritage-one-step-closer-to-reality" TargetMode="External"/><Relationship Id="rId246" Type="http://schemas.openxmlformats.org/officeDocument/2006/relationships/hyperlink" Target="https://news.ballotpedia.org/2026/07/27/2026-will-be-the-first-even-numbered-year-since-1966-without-an-initiative-on-the-general-election-ballot-in-oregon-after-an-initiative-to-ban-hunting-fails-to-qualify/" TargetMode="External"/><Relationship Id="rId247" Type="http://schemas.openxmlformats.org/officeDocument/2006/relationships/hyperlink" Target="https://www.kptv.com/2025/11/26/over-150k-signatures-collected-put-oregon-transportation-bill-up-vote-group-says/" TargetMode="External"/><Relationship Id="rId248" Type="http://schemas.openxmlformats.org/officeDocument/2006/relationships/hyperlink" Target="https://www.timesleader.com/news/1745787/group-advocates-adding-insider-stock-trading-prohibition-to-luzerne-countys-home-rule-charter" TargetMode="External"/><Relationship Id="rId249" Type="http://schemas.openxmlformats.org/officeDocument/2006/relationships/hyperlink" Target="https://fox56.com/news/local/anti-insider-trading-petitions-get-over-40k-signatures-issue-moves-to-november-ballot" TargetMode="External"/><Relationship Id="rId250" Type="http://schemas.openxmlformats.org/officeDocument/2006/relationships/hyperlink" Target="https://ballot-access.org/2026/06/22/june-2026-ballot-access-news-print-edition/" TargetMode="External"/><Relationship Id="rId251" Type="http://schemas.openxmlformats.org/officeDocument/2006/relationships/hyperlink" Target="https://sdsos.gov/elections-voting/upcoming-elections/general-information/2026%20Election%20Information/2026-ballot-questions.aspx" TargetMode="External"/><Relationship Id="rId252" Type="http://schemas.openxmlformats.org/officeDocument/2006/relationships/hyperlink" Target="https://www.kotatv.com/2026/05/08/group-collecting-petition-signatures-post-deadline-using-court-decision-justification/" TargetMode="External"/><Relationship Id="rId253" Type="http://schemas.openxmlformats.org/officeDocument/2006/relationships/hyperlink" Target="https://www.dakotanewsnow.com/2026/08/12/legislature-handed-loss-after-circuit-court-deems-state-law-unconstitutional/" TargetMode="External"/><Relationship Id="rId254" Type="http://schemas.openxmlformats.org/officeDocument/2006/relationships/hyperlink" Target="https://www.sdpb.org/politics/2026-06-29/group-fails-to-get-homeowner-property-tax-relief-law-on-november-ballot" TargetMode="External"/><Relationship Id="rId255" Type="http://schemas.openxmlformats.org/officeDocument/2006/relationships/hyperlink" Target="https://southdakotasearchlight.com/2026/04/30/opponents-seek-public-vote-on-sd-law-using-higher-sales-taxes-to-drop-property-taxes/" TargetMode="External"/><Relationship Id="rId256" Type="http://schemas.openxmlformats.org/officeDocument/2006/relationships/hyperlink" Target="https://sdsos.gov/elections-voting/upcoming-elections/general-information/2026%20Election%20Information/2026-ballot-questions.aspx" TargetMode="External"/><Relationship Id="rId257" Type="http://schemas.openxmlformats.org/officeDocument/2006/relationships/hyperlink" Target="https://www.kotatv.com/2026/05/08/group-collecting-petition-signatures-post-deadline-using-court-decision-justification/" TargetMode="External"/><Relationship Id="rId258" Type="http://schemas.openxmlformats.org/officeDocument/2006/relationships/hyperlink" Target="https://careers.arena.run/companies/the-outreach-team-2/jobs/86613658-petition-circulator-expand-affordable-housing" TargetMode="External"/><Relationship Id="rId259" Type="http://schemas.openxmlformats.org/officeDocument/2006/relationships/hyperlink" Target="https://careers.arena.run/companies/the-outreach-team-2/jobs/86613658-petition-circulator-expand-affordable-housing" TargetMode="External"/><Relationship Id="rId260" Type="http://schemas.openxmlformats.org/officeDocument/2006/relationships/hyperlink" Target="https://www.newschannel5.com/news/newschannel-5-investigates/election-commission-approves-petition-to-put-fate-of-nashville-fairgrounds-speedway-on-ballot-next-summer" TargetMode="External"/><Relationship Id="rId261" Type="http://schemas.openxmlformats.org/officeDocument/2006/relationships/hyperlink" Target="https://fox17.com/news/local/nashville-election-commission-clears-fairgrounds-racing-referendum-for-2027-ballot" TargetMode="External"/><Relationship Id="rId262" Type="http://schemas.openxmlformats.org/officeDocument/2006/relationships/hyperlink" Target="https://www.dmagazine.com/micropost/save-dallas-city-hall-to-attempt-referendum/" TargetMode="External"/><Relationship Id="rId263" Type="http://schemas.openxmlformats.org/officeDocument/2006/relationships/hyperlink" Target="https://www.fox4news.com/news/dallas-city-hall-petition-drive-seeks-may-ballot-vote-save-iconic-building.amp" TargetMode="External"/><Relationship Id="rId264" Type="http://schemas.openxmlformats.org/officeDocument/2006/relationships/hyperlink" Target="https://www.dmagazine.com/micropost/save-dallas-city-hall-officially-launches-petition-drive-for-charter-amendment/" TargetMode="External"/><Relationship Id="rId265" Type="http://schemas.openxmlformats.org/officeDocument/2006/relationships/hyperlink" Target="https://www.newsweek.com/elected-officials-face-recalls-nationwide-data-center-support-12400196" TargetMode="External"/><Relationship Id="rId266" Type="http://schemas.openxmlformats.org/officeDocument/2006/relationships/hyperlink" Target="https://www.yahoo.com/news/articles/austin-pac-appeals-texas-supreme-025130188.html" TargetMode="External"/><Relationship Id="rId267" Type="http://schemas.openxmlformats.org/officeDocument/2006/relationships/hyperlink" Target="https://www.austintexas.gov/clerk/initiative-petitions" TargetMode="External"/><Relationship Id="rId268" Type="http://schemas.openxmlformats.org/officeDocument/2006/relationships/hyperlink" Target="https://www.kut.org/austin/2026-02-12/austin-tx-convention-center-expansion-lawsuit-texas-supreme-court" TargetMode="External"/><Relationship Id="rId269" Type="http://schemas.openxmlformats.org/officeDocument/2006/relationships/hyperlink" Target="https://vote.utah.gov/local-referendum-salt-lake-county-salt-lake-county-property-tax-referendum/" TargetMode="External"/><Relationship Id="rId270" Type="http://schemas.openxmlformats.org/officeDocument/2006/relationships/hyperlink" Target="https://www.sltrib.com/news/2025/12/16/salt-lake-county-residents-hope/" TargetMode="External"/><Relationship Id="rId271" Type="http://schemas.openxmlformats.org/officeDocument/2006/relationships/hyperlink" Target="https://hoodline.com/2026/02/salt-lake-county-tax-revolt-stalls-organizers-plot-next-move/" TargetMode="External"/><Relationship Id="rId272" Type="http://schemas.openxmlformats.org/officeDocument/2006/relationships/hyperlink" Target="https://vote.utah.gov/initiatives-and-referenda" TargetMode="External"/><Relationship Id="rId273" Type="http://schemas.openxmlformats.org/officeDocument/2006/relationships/hyperlink" Target="https://www.axios.com/local/salt-lake-city/2025/04/16/utah-labor-unions-signatures-collective-bargaining-ban" TargetMode="External"/><Relationship Id="rId274" Type="http://schemas.openxmlformats.org/officeDocument/2006/relationships/hyperlink" Target="https://news.ballotpedia.org/2025/04/16/protect-utah-workers-submits-signatures-to-the-secretary-of-state-for-veto-referendum/" TargetMode="External"/><Relationship Id="rId275" Type="http://schemas.openxmlformats.org/officeDocument/2006/relationships/hyperlink" Target="https://www.axios.com/local/salt-lake-city/2026/02/17/utah-redistricting-signature-ballot-gop-republican-2026" TargetMode="External"/><Relationship Id="rId276" Type="http://schemas.openxmlformats.org/officeDocument/2006/relationships/hyperlink" Target="https://vote.utah.gov/initiatives-and-referenda" TargetMode="External"/><Relationship Id="rId277" Type="http://schemas.openxmlformats.org/officeDocument/2006/relationships/hyperlink" Target="https://landslidepolitical.recruitee.com/o/canvasser-ogden-ut-25hr" TargetMode="External"/><Relationship Id="rId278" Type="http://schemas.openxmlformats.org/officeDocument/2006/relationships/hyperlink" Target="https://landslidepolitical.recruitee.com/" TargetMode="External"/><Relationship Id="rId279" Type="http://schemas.openxmlformats.org/officeDocument/2006/relationships/hyperlink" Target="https://landslidepolitical.recruitee.com/o/canvasser-ogden-ut-25hr" TargetMode="External"/><Relationship Id="rId280" Type="http://schemas.openxmlformats.org/officeDocument/2006/relationships/hyperlink" Target="https://landslidepolitical.recruitee.com/o/canvasser-provo-ut-25hr?lang=en" TargetMode="External"/><Relationship Id="rId281" Type="http://schemas.openxmlformats.org/officeDocument/2006/relationships/hyperlink" Target="https://careers.arena.run/companies/landslide-political-2/jobs/65127463-canvasser-salt-lake-city-ut-25-hr" TargetMode="External"/><Relationship Id="rId282" Type="http://schemas.openxmlformats.org/officeDocument/2006/relationships/hyperlink" Target="https://ballot-access.org/2026/06/22/june-2026-ballot-access-news-print-edition/" TargetMode="External"/><Relationship Id="rId283" Type="http://schemas.openxmlformats.org/officeDocument/2006/relationships/hyperlink" Target="https://wholewashington.org/initiative/" TargetMode="External"/><Relationship Id="rId284" Type="http://schemas.openxmlformats.org/officeDocument/2006/relationships/hyperlink" Target="https://wholewashington.org/initiative/" TargetMode="External"/><Relationship Id="rId285" Type="http://schemas.openxmlformats.org/officeDocument/2006/relationships/hyperlink" Target="https://www.komonews.com/news/local/lets-go-washington-girls-sports-fairness-democratic-process-governer-ferguson-what-is-an-initiative-to-the-legislature-and-how-many-are-in-the-works-right-now" TargetMode="External"/><Relationship Id="rId286" Type="http://schemas.openxmlformats.org/officeDocument/2006/relationships/hyperlink" Target="https://washingtonstatestandard.com/voter-guides/ballot-measures/to-restore-the-2024-parents-bill-of-rights-initiative-001/" TargetMode="External"/><Relationship Id="rId287" Type="http://schemas.openxmlformats.org/officeDocument/2006/relationships/hyperlink" Target="https://www.komonews.com/news/local/lets-go-washington-girls-sports-fairness-democratic-process-governer-ferguson-what-is-an-initiative-to-the-legislature-and-how-many-are-in-the-works-right-now" TargetMode="External"/><Relationship Id="rId288" Type="http://schemas.openxmlformats.org/officeDocument/2006/relationships/hyperlink" Target="https://en.wikipedia.org/wiki/2026_Washington_Initiative_IL26-638" TargetMode="External"/><Relationship Id="rId289" Type="http://schemas.openxmlformats.org/officeDocument/2006/relationships/hyperlink" Target="https://lwvwa.org/IP26-500" TargetMode="External"/><Relationship Id="rId290" Type="http://schemas.openxmlformats.org/officeDocument/2006/relationships/hyperlink" Target="https://bcrpwa.com/?p=2259" TargetMode="External"/><Relationship Id="rId291" Type="http://schemas.openxmlformats.org/officeDocument/2006/relationships/hyperlink" Target="https://washingtonstatestandard.com/2025/07/14/this-measure-would-make-wa-residents-prove-they-are-citizens-when-they-register-to-vote/" TargetMode="External"/><Relationship Id="rId292" Type="http://schemas.openxmlformats.org/officeDocument/2006/relationships/hyperlink" Target="https://mynorthwest.com/john-curley/millionaires-tax-signatures/4244972" TargetMode="External"/><Relationship Id="rId293" Type="http://schemas.openxmlformats.org/officeDocument/2006/relationships/hyperlink" Target="https://komonews.com/news/local/initiative-campaign-launches-to-repeal-washington-millionaires-tax-governor-bob-ferguson-attorney-generals-office-collecting-signatures-washington-constitution-99-tax" TargetMode="External"/><Relationship Id="rId294" Type="http://schemas.openxmlformats.org/officeDocument/2006/relationships/hyperlink" Target="https://washingtonstatestandard.com/voter-guides/ballot-measures/to-repeal-the-states-income-tax/" TargetMode="External"/><Relationship Id="rId295" Type="http://schemas.openxmlformats.org/officeDocument/2006/relationships/hyperlink" Target="https://mynorthwest.com/?p=3989585" TargetMode="External"/><Relationship Id="rId296" Type="http://schemas.openxmlformats.org/officeDocument/2006/relationships/hyperlink" Target="https://ballot-access.org/2026/06/22/june-2026-ballot-access-news-print-edition/" TargetMode="External"/><Relationship Id="rId297" Type="http://schemas.openxmlformats.org/officeDocument/2006/relationships/hyperlink" Target="https://www.wpr.org/news/winneconne-school-board-recall-petition-rejected-organizers-filing-appeal-with-wec" TargetMode="External"/><Relationship Id="rId298" Type="http://schemas.openxmlformats.org/officeDocument/2006/relationships/hyperlink" Target="https://sos.wyo.gov/Elections/InitiativeReferendumInfo.aspx" TargetMode="External"/><Relationship Id="rId299" Type="http://schemas.openxmlformats.org/officeDocument/2006/relationships/hyperlink" Target="https://sos.wyo.gov/Elections/InitiativeReferendumInfo.aspx" TargetMode="External"/><Relationship Id="rId300" Type="http://schemas.openxmlformats.org/officeDocument/2006/relationships/hyperlink" Target="https://goconow.com/secretary-of-state-certifies-initiative-to-provide-property-tax-limits-for-2026-election-ballot/" TargetMode="External"/><Relationship Id="rId30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hyperlink" Target="https://careers.arena.run/companies/the-outreach-team-2/jobs/48573140-petitioner-help-expand-medicaid-in-florida%20(2025%20posting%20for%20the%202026%20drive;%20current%20status%20unknown)" TargetMode="External"/><Relationship Id="rId2" Type="http://schemas.openxmlformats.org/officeDocument/2006/relationships/hyperlink" Target="https://urban-signers-llc.careerplug.com/jobs/3365854" TargetMode="External"/><Relationship Id="rId3"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hyperlink" Target="https://apcusa.com/" TargetMode="External"/><Relationship Id="rId2" Type="http://schemas.openxmlformats.org/officeDocument/2006/relationships/hyperlink" Target="https://fieldworks.com/" TargetMode="External"/><Relationship Id="rId3" Type="http://schemas.openxmlformats.org/officeDocument/2006/relationships/hyperlink" Target="https://fieldworks.com/jobs/%20;%20canvassers/petitioners:%20https://fieldworks.com/canvassers/%20;%20directors:%20https://fieldworks.com/directors/%20;%20invite-only%20&apos;Petition%20DTS%20Travel%20Crew&apos;:%20https://fieldworks.com/?p=5722" TargetMode="External"/><Relationship Id="rId4" Type="http://schemas.openxmlformats.org/officeDocument/2006/relationships/hyperlink" Target="https://www.indeed.com/viewjob?jk=7ea42208bd574788" TargetMode="External"/><Relationship Id="rId5" Type="http://schemas.openxmlformats.org/officeDocument/2006/relationships/hyperlink" Target="https://www.ziprecruiter.com/c/LMK-Strategies/Job/Signature-Gatherer/-in-Dallas,TX?jid=ec5f5f29d13fd8bd" TargetMode="External"/><Relationship Id="rId6" Type="http://schemas.openxmlformats.org/officeDocument/2006/relationships/hyperlink" Target="https://www.ziprecruiter.com/c/Mobilize-Michigan/Job/Field-Manager/-in-Detroit,MI?jid=40e56da15a1ccabe" TargetMode="External"/><Relationship Id="rId7" Type="http://schemas.openxmlformats.org/officeDocument/2006/relationships/hyperlink" Target="https://careers.arena.run/companies/the-outreach-team-2/jobs/86613658-petition-circulator-expand-affordable-housing" TargetMode="External"/><Relationship Id="rId8" Type="http://schemas.openxmlformats.org/officeDocument/2006/relationships/hyperlink" Target="https://www.indeed.com/viewjob?jk=23682f688495564a" TargetMode="External"/><Relationship Id="rId9"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hyperlink" Target="https://www.ziprecruiter.com/c/LMK-Strategies/Job/Signature-Gatherer/-in-Dallas,TX?jid=ec5f5f29d13fd8bd" TargetMode="External"/><Relationship Id="rId2" Type="http://schemas.openxmlformats.org/officeDocument/2006/relationships/hyperlink" Target="https://www.indeed.com/viewjob?jk=23682f688495564a" TargetMode="External"/><Relationship Id="rId3" Type="http://schemas.openxmlformats.org/officeDocument/2006/relationships/hyperlink" Target="https://careers.arena.run/companies/the-outreach-team-2/jobs/86613658-petition-circulator-expand-affordable-housing" TargetMode="External"/><Relationship Id="rId4" Type="http://schemas.openxmlformats.org/officeDocument/2006/relationships/hyperlink" Target="https://www.ziprecruiter.com/c/PS-Logistics-LLC/Job/Petition-Circulator/-in-Denver,CO?jid=d5c1b43da3aeb6f1" TargetMode="External"/><Relationship Id="rId5" Type="http://schemas.openxmlformats.org/officeDocument/2006/relationships/hyperlink" Target="https://www.ziprecruiter.com/c/PS-Logistics-LLC/Job/Petition-Circulator/-in-Windsor,CO?jid=6bcc15bfa6b7542f" TargetMode="External"/><Relationship Id="rId6" Type="http://schemas.openxmlformats.org/officeDocument/2006/relationships/hyperlink" Target="https://www.ziprecruiter.com/c/Oedipus-Petitioning-LLC/Job/Door-to-Door-Liquor-License-Petitioning/-in-Denver,CO?jid=5cb1e0cd48213fde" TargetMode="External"/><Relationship Id="rId7" Type="http://schemas.openxmlformats.org/officeDocument/2006/relationships/hyperlink" Target="https://www.ziprecruiter.com/c/Mobilize-Michigan/Job/Field-Manager/-in-Detroit,MI?jid=40e56da15a1ccabe" TargetMode="External"/><Relationship Id="rId8" Type="http://schemas.openxmlformats.org/officeDocument/2006/relationships/hyperlink" Target="https://www.ziprecruiter.com/c/Verdugo-Strategies/Job/Community-Outreach-Representative(MI)/-in-Detroit,MI?jid=4bfb4f23f6f40de6" TargetMode="External"/><Relationship Id="rId9" Type="http://schemas.openxmlformats.org/officeDocument/2006/relationships/hyperlink" Target="https://www.ziprecruiter.com/c/Arena/Job/PTGR-Strategies:-Signature-Collector/-in-Washington,DC?jid=00b6903f80cd9c1a" TargetMode="External"/><Relationship Id="rId10" Type="http://schemas.openxmlformats.org/officeDocument/2006/relationships/hyperlink" Target="https://www.indeed.com/viewjob?jk=7ea42208bd574788" TargetMode="External"/><Relationship Id="rId11" Type="http://schemas.openxmlformats.org/officeDocument/2006/relationships/hyperlink" Target="https://fieldworks.com/?p=5722" TargetMode="External"/><Relationship Id="rId12" Type="http://schemas.openxmlformats.org/officeDocument/2006/relationships/hyperlink" Target="https://careers.arena.run/companies/the-outreach-team-2/jobs/82850590-community-petitioner" TargetMode="External"/><Relationship Id="rId13" Type="http://schemas.openxmlformats.org/officeDocument/2006/relationships/hyperlink" Target="https://careers.arena.run/companies/the-outreach-team-2/jobs/79505515-petition-circulator" TargetMode="External"/><Relationship Id="rId14" Type="http://schemas.openxmlformats.org/officeDocument/2006/relationships/hyperlink" Target="https://jobs.arena.run/jobs/paid-petition-circulator-reci-b-ea-nzesly5-h-kl/" TargetMode="External"/><Relationship Id="rId15" Type="http://schemas.openxmlformats.org/officeDocument/2006/relationships/hyperlink" Target="https://www.craigslist.org/view/d/washington-ballot-initiatives-seeking/nc1dfeoPHm8c19ZKLWWJ7V" TargetMode="External"/><Relationship Id="rId16"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9.7"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23.85" hidden="false" customHeight="false" outlineLevel="0" collapsed="false">
      <c r="A5" s="2" t="s">
        <v>5</v>
      </c>
      <c r="B5" s="3" t="s">
        <v>6</v>
      </c>
    </row>
    <row r="6" customFormat="false" ht="15" hidden="false" customHeight="false" outlineLevel="0" collapsed="false">
      <c r="A6" s="2"/>
      <c r="B6" s="3"/>
    </row>
    <row r="7" customFormat="false" ht="15" hidden="false" customHeight="false" outlineLevel="0" collapsed="false">
      <c r="A7" s="2" t="s">
        <v>7</v>
      </c>
      <c r="B7" s="3"/>
    </row>
    <row r="8" customFormat="false" ht="15" hidden="false" customHeight="false" outlineLevel="0" collapsed="false">
      <c r="A8" s="4" t="s">
        <v>8</v>
      </c>
      <c r="B8" s="3" t="s">
        <v>9</v>
      </c>
    </row>
    <row r="9" customFormat="false" ht="15" hidden="false" customHeight="false" outlineLevel="0" collapsed="false">
      <c r="A9" s="5" t="s">
        <v>10</v>
      </c>
      <c r="B9" s="3" t="s">
        <v>11</v>
      </c>
    </row>
    <row r="10" customFormat="false" ht="15" hidden="false" customHeight="false" outlineLevel="0" collapsed="false">
      <c r="A10" s="6" t="s">
        <v>12</v>
      </c>
      <c r="B10" s="3" t="s">
        <v>13</v>
      </c>
    </row>
    <row r="11" customFormat="false" ht="15" hidden="false" customHeight="false" outlineLevel="0" collapsed="false">
      <c r="A11" s="7" t="s">
        <v>14</v>
      </c>
      <c r="B11" s="3" t="s">
        <v>15</v>
      </c>
    </row>
    <row r="12" customFormat="false" ht="15" hidden="false" customHeight="false" outlineLevel="0" collapsed="false">
      <c r="A12" s="8" t="s">
        <v>16</v>
      </c>
      <c r="B12" s="3" t="s">
        <v>17</v>
      </c>
    </row>
    <row r="13" customFormat="false" ht="15" hidden="false" customHeight="false" outlineLevel="0" collapsed="false">
      <c r="A13" s="9" t="s">
        <v>18</v>
      </c>
      <c r="B13" s="3" t="s">
        <v>19</v>
      </c>
    </row>
    <row r="14" customFormat="false" ht="15" hidden="false" customHeight="false" outlineLevel="0" collapsed="false">
      <c r="A14" s="2"/>
      <c r="B14" s="3"/>
    </row>
    <row r="15" customFormat="false" ht="15" hidden="false" customHeight="false" outlineLevel="0" collapsed="false">
      <c r="A15" s="2" t="s">
        <v>20</v>
      </c>
      <c r="B15" s="3"/>
    </row>
    <row r="16" customFormat="false" ht="15" hidden="false" customHeight="false" outlineLevel="0" collapsed="false">
      <c r="A16" s="2" t="s">
        <v>21</v>
      </c>
      <c r="B16" s="3" t="s">
        <v>22</v>
      </c>
    </row>
    <row r="17" customFormat="false" ht="15" hidden="false" customHeight="false" outlineLevel="0" collapsed="false">
      <c r="A17" s="2" t="s">
        <v>23</v>
      </c>
      <c r="B17" s="3" t="s">
        <v>24</v>
      </c>
    </row>
    <row r="18" customFormat="false" ht="15" hidden="false" customHeight="false" outlineLevel="0" collapsed="false">
      <c r="A18" s="2" t="s">
        <v>25</v>
      </c>
      <c r="B18" s="3" t="s">
        <v>26</v>
      </c>
    </row>
    <row r="19" customFormat="false" ht="15" hidden="false" customHeight="false" outlineLevel="0" collapsed="false">
      <c r="A19" s="2" t="s">
        <v>27</v>
      </c>
      <c r="B19" s="3" t="s">
        <v>28</v>
      </c>
    </row>
    <row r="20" customFormat="false" ht="15" hidden="false" customHeight="false" outlineLevel="0" collapsed="false">
      <c r="A20" s="2" t="s">
        <v>29</v>
      </c>
      <c r="B20" s="3" t="s">
        <v>30</v>
      </c>
    </row>
    <row r="21" customFormat="false" ht="15" hidden="false" customHeight="false" outlineLevel="0" collapsed="false">
      <c r="A21" s="2" t="s">
        <v>31</v>
      </c>
      <c r="B21" s="3" t="s">
        <v>32</v>
      </c>
    </row>
    <row r="22" customFormat="false" ht="15" hidden="false" customHeight="false" outlineLevel="0" collapsed="false">
      <c r="A22" s="2" t="s">
        <v>33</v>
      </c>
      <c r="B22" s="3" t="s">
        <v>34</v>
      </c>
    </row>
    <row r="23" customFormat="false" ht="15" hidden="false" customHeight="false" outlineLevel="0" collapsed="false">
      <c r="A23" s="2"/>
      <c r="B23" s="3"/>
    </row>
    <row r="24" customFormat="false" ht="23.85" hidden="false" customHeight="false" outlineLevel="0" collapsed="false">
      <c r="A24" s="2" t="s">
        <v>35</v>
      </c>
      <c r="B24" s="3" t="s">
        <v>36</v>
      </c>
    </row>
    <row r="25" customFormat="false" ht="23.85" hidden="false" customHeight="false" outlineLevel="0" collapsed="false">
      <c r="A25" s="2" t="s">
        <v>37</v>
      </c>
      <c r="B25" s="3" t="s">
        <v>38</v>
      </c>
    </row>
    <row r="30" customFormat="false" ht="15" hidden="false" customHeight="false" outlineLevel="0" collapsed="false">
      <c r="A30" s="2" t="s">
        <v>39</v>
      </c>
      <c r="B30" s="10" t="n">
        <v>46319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4"/>
    <col collapsed="false" customWidth="true" hidden="false" outlineLevel="0" max="4" min="4" style="0" width="18"/>
    <col collapsed="false" customWidth="true" hidden="false" outlineLevel="0" max="5" min="5" style="0" width="34"/>
    <col collapsed="false" customWidth="true" hidden="false" outlineLevel="0" max="6" min="6" style="0" width="40"/>
    <col collapsed="false" customWidth="true" hidden="false" outlineLevel="0" max="7" min="7" style="0" width="14"/>
    <col collapsed="false" customWidth="true" hidden="false" outlineLevel="0" max="8" min="8" style="0" width="28"/>
    <col collapsed="false" customWidth="true" hidden="false" outlineLevel="0" max="9" min="9" style="0" width="24"/>
    <col collapsed="false" customWidth="true" hidden="false" outlineLevel="0" max="10" min="10" style="0" width="22"/>
    <col collapsed="false" customWidth="true" hidden="false" outlineLevel="0" max="11" min="11" style="0" width="14"/>
    <col collapsed="false" customWidth="true" hidden="false" outlineLevel="0" max="12" min="12" style="0" width="20"/>
    <col collapsed="false" customWidth="true" hidden="false" outlineLevel="0" max="13" min="13" style="0" width="12"/>
    <col collapsed="false" customWidth="true" hidden="false" outlineLevel="0" max="14" min="14" style="0" width="9"/>
    <col collapsed="false" customWidth="true" hidden="false" outlineLevel="0" max="15" min="15" style="0" width="14"/>
    <col collapsed="false" customWidth="true" hidden="false" outlineLevel="0" max="16" min="16" style="0" width="22"/>
    <col collapsed="false" customWidth="true" hidden="false" outlineLevel="0" max="17" min="17" style="0" width="30"/>
    <col collapsed="false" customWidth="true" hidden="false" outlineLevel="0" max="18" min="18" style="0" width="24"/>
    <col collapsed="false" customWidth="true" hidden="false" outlineLevel="0" max="19" min="19" style="0" width="22"/>
    <col collapsed="false" customWidth="true" hidden="false" outlineLevel="0" max="20" min="20" style="0" width="26"/>
    <col collapsed="false" customWidth="true" hidden="false" outlineLevel="0" max="21" min="21" style="0" width="28"/>
    <col collapsed="false" customWidth="true" hidden="false" outlineLevel="0" max="22" min="22" style="0" width="50"/>
    <col collapsed="false" customWidth="true" hidden="false" outlineLevel="0" max="25" min="23" style="0" width="34"/>
    <col collapsed="false" customWidth="true" hidden="false" outlineLevel="0" max="26" min="26" style="0" width="30"/>
    <col collapsed="false" customWidth="true" hidden="false" outlineLevel="0" max="27" min="27" style="0" width="14"/>
    <col collapsed="false" customWidth="true" hidden="false" outlineLevel="0" max="28" min="28" style="0" width="12"/>
  </cols>
  <sheetData>
    <row r="1" customFormat="false" ht="30" hidden="false" customHeight="true" outlineLevel="0" collapsed="false">
      <c r="A1" s="11" t="s">
        <v>40</v>
      </c>
      <c r="B1" s="11" t="s">
        <v>41</v>
      </c>
      <c r="C1" s="11" t="s">
        <v>42</v>
      </c>
      <c r="D1" s="11" t="s">
        <v>43</v>
      </c>
      <c r="E1" s="11" t="s">
        <v>44</v>
      </c>
      <c r="F1" s="11" t="s">
        <v>45</v>
      </c>
      <c r="G1" s="11" t="s">
        <v>46</v>
      </c>
      <c r="H1" s="11" t="s">
        <v>47</v>
      </c>
      <c r="I1" s="11" t="s">
        <v>48</v>
      </c>
      <c r="J1" s="11" t="s">
        <v>49</v>
      </c>
      <c r="K1" s="11" t="s">
        <v>50</v>
      </c>
      <c r="L1" s="11" t="s">
        <v>51</v>
      </c>
      <c r="M1" s="11" t="s">
        <v>52</v>
      </c>
      <c r="N1" s="11" t="s">
        <v>53</v>
      </c>
      <c r="O1" s="11" t="s">
        <v>54</v>
      </c>
      <c r="P1" s="11" t="s">
        <v>55</v>
      </c>
      <c r="Q1" s="11" t="s">
        <v>56</v>
      </c>
      <c r="R1" s="11" t="s">
        <v>57</v>
      </c>
      <c r="S1" s="11" t="s">
        <v>58</v>
      </c>
      <c r="T1" s="11" t="s">
        <v>59</v>
      </c>
      <c r="U1" s="11" t="s">
        <v>60</v>
      </c>
      <c r="V1" s="11" t="s">
        <v>61</v>
      </c>
      <c r="W1" s="11" t="s">
        <v>62</v>
      </c>
      <c r="X1" s="11" t="s">
        <v>63</v>
      </c>
      <c r="Y1" s="11" t="s">
        <v>64</v>
      </c>
      <c r="Z1" s="11" t="s">
        <v>65</v>
      </c>
      <c r="AA1" s="11" t="s">
        <v>66</v>
      </c>
      <c r="AB1" s="11" t="s">
        <v>67</v>
      </c>
    </row>
    <row r="2" customFormat="false" ht="57.45" hidden="false" customHeight="false" outlineLevel="0" collapsed="false">
      <c r="A2" s="3" t="s">
        <v>68</v>
      </c>
      <c r="B2" s="3" t="s">
        <v>69</v>
      </c>
      <c r="C2" s="3" t="s">
        <v>70</v>
      </c>
      <c r="D2" s="3" t="s">
        <v>71</v>
      </c>
      <c r="E2" s="3" t="s">
        <v>72</v>
      </c>
      <c r="F2" s="3" t="s">
        <v>73</v>
      </c>
      <c r="G2" s="3" t="s">
        <v>74</v>
      </c>
      <c r="H2" s="3" t="s">
        <v>75</v>
      </c>
      <c r="I2" s="3" t="s">
        <v>75</v>
      </c>
      <c r="J2" s="12" t="s">
        <v>18</v>
      </c>
      <c r="K2" s="3" t="s">
        <v>76</v>
      </c>
      <c r="L2" s="3" t="s">
        <v>77</v>
      </c>
      <c r="M2" s="13" t="n">
        <v>46161</v>
      </c>
      <c r="N2" s="14" t="n">
        <f aca="false">IF(M2="","",M2-'Read Me'!$B$30)</f>
        <v>-158</v>
      </c>
      <c r="O2" s="3" t="s">
        <v>75</v>
      </c>
      <c r="P2" s="3" t="s">
        <v>75</v>
      </c>
      <c r="Q2" s="3" t="s">
        <v>75</v>
      </c>
      <c r="R2" s="3" t="s">
        <v>75</v>
      </c>
      <c r="S2" s="3" t="s">
        <v>75</v>
      </c>
      <c r="T2" s="3" t="s">
        <v>75</v>
      </c>
      <c r="U2" s="3" t="s">
        <v>75</v>
      </c>
      <c r="V2" s="3" t="s">
        <v>78</v>
      </c>
      <c r="W2" s="15" t="s">
        <v>79</v>
      </c>
      <c r="X2" s="3"/>
      <c r="Y2" s="3"/>
      <c r="Z2" s="3"/>
      <c r="AA2" s="3" t="s">
        <v>80</v>
      </c>
      <c r="AB2" s="13" t="n">
        <v>46319</v>
      </c>
    </row>
    <row r="3" customFormat="false" ht="57.45" hidden="false" customHeight="false" outlineLevel="0" collapsed="false">
      <c r="A3" s="3" t="s">
        <v>81</v>
      </c>
      <c r="B3" s="3" t="s">
        <v>82</v>
      </c>
      <c r="C3" s="3" t="s">
        <v>83</v>
      </c>
      <c r="D3" s="3" t="s">
        <v>71</v>
      </c>
      <c r="E3" s="3" t="s">
        <v>84</v>
      </c>
      <c r="F3" s="3" t="s">
        <v>85</v>
      </c>
      <c r="G3" s="3" t="s">
        <v>86</v>
      </c>
      <c r="H3" s="3" t="s">
        <v>75</v>
      </c>
      <c r="I3" s="3" t="s">
        <v>75</v>
      </c>
      <c r="J3" s="16" t="s">
        <v>14</v>
      </c>
      <c r="K3" s="3" t="s">
        <v>75</v>
      </c>
      <c r="L3" s="3" t="s">
        <v>75</v>
      </c>
      <c r="M3" s="13"/>
      <c r="N3" s="14" t="str">
        <f aca="false">IF(M3="","",M3-'Read Me'!$B$30)</f>
        <v/>
      </c>
      <c r="O3" s="3" t="s">
        <v>75</v>
      </c>
      <c r="P3" s="3" t="s">
        <v>75</v>
      </c>
      <c r="Q3" s="3" t="s">
        <v>75</v>
      </c>
      <c r="R3" s="3" t="s">
        <v>75</v>
      </c>
      <c r="S3" s="3" t="s">
        <v>75</v>
      </c>
      <c r="T3" s="3" t="s">
        <v>75</v>
      </c>
      <c r="U3" s="3" t="s">
        <v>75</v>
      </c>
      <c r="V3" s="3" t="s">
        <v>87</v>
      </c>
      <c r="W3" s="15" t="s">
        <v>88</v>
      </c>
      <c r="X3" s="3"/>
      <c r="Y3" s="3"/>
      <c r="Z3" s="3"/>
      <c r="AA3" s="3" t="s">
        <v>89</v>
      </c>
      <c r="AB3" s="13" t="n">
        <v>46319</v>
      </c>
    </row>
    <row r="4" customFormat="false" ht="79.85" hidden="false" customHeight="false" outlineLevel="0" collapsed="false">
      <c r="A4" s="3" t="s">
        <v>90</v>
      </c>
      <c r="B4" s="3" t="s">
        <v>82</v>
      </c>
      <c r="C4" s="3" t="s">
        <v>83</v>
      </c>
      <c r="D4" s="3" t="s">
        <v>71</v>
      </c>
      <c r="E4" s="3" t="s">
        <v>91</v>
      </c>
      <c r="F4" s="3" t="s">
        <v>92</v>
      </c>
      <c r="G4" s="3" t="s">
        <v>93</v>
      </c>
      <c r="H4" s="3" t="s">
        <v>94</v>
      </c>
      <c r="I4" s="3" t="s">
        <v>75</v>
      </c>
      <c r="J4" s="17" t="s">
        <v>16</v>
      </c>
      <c r="K4" s="3" t="s">
        <v>95</v>
      </c>
      <c r="L4" s="3" t="s">
        <v>96</v>
      </c>
      <c r="M4" s="13" t="n">
        <v>46279</v>
      </c>
      <c r="N4" s="14" t="n">
        <f aca="false">IF(M4="","",M4-'Read Me'!$B$30)</f>
        <v>-40</v>
      </c>
      <c r="O4" s="3" t="s">
        <v>75</v>
      </c>
      <c r="P4" s="3" t="s">
        <v>75</v>
      </c>
      <c r="Q4" s="3" t="s">
        <v>75</v>
      </c>
      <c r="R4" s="3" t="s">
        <v>75</v>
      </c>
      <c r="S4" s="3" t="s">
        <v>75</v>
      </c>
      <c r="T4" s="3" t="s">
        <v>75</v>
      </c>
      <c r="U4" s="15" t="s">
        <v>97</v>
      </c>
      <c r="V4" s="3" t="s">
        <v>98</v>
      </c>
      <c r="W4" s="15" t="s">
        <v>99</v>
      </c>
      <c r="X4" s="15" t="s">
        <v>100</v>
      </c>
      <c r="Y4" s="3"/>
      <c r="Z4" s="3"/>
      <c r="AA4" s="3" t="s">
        <v>89</v>
      </c>
      <c r="AB4" s="13" t="n">
        <v>46319</v>
      </c>
    </row>
    <row r="5" customFormat="false" ht="35.05" hidden="false" customHeight="false" outlineLevel="0" collapsed="false">
      <c r="A5" s="3" t="s">
        <v>101</v>
      </c>
      <c r="B5" s="3" t="s">
        <v>82</v>
      </c>
      <c r="C5" s="3" t="s">
        <v>83</v>
      </c>
      <c r="D5" s="3" t="s">
        <v>71</v>
      </c>
      <c r="E5" s="3" t="s">
        <v>102</v>
      </c>
      <c r="F5" s="3" t="s">
        <v>103</v>
      </c>
      <c r="G5" s="3" t="s">
        <v>93</v>
      </c>
      <c r="H5" s="3" t="s">
        <v>75</v>
      </c>
      <c r="I5" s="3" t="s">
        <v>75</v>
      </c>
      <c r="J5" s="17" t="s">
        <v>16</v>
      </c>
      <c r="K5" s="3" t="s">
        <v>104</v>
      </c>
      <c r="L5" s="3" t="s">
        <v>105</v>
      </c>
      <c r="M5" s="13" t="n">
        <v>46098</v>
      </c>
      <c r="N5" s="14" t="n">
        <f aca="false">IF(M5="","",M5-'Read Me'!$B$30)</f>
        <v>-221</v>
      </c>
      <c r="O5" s="3" t="s">
        <v>106</v>
      </c>
      <c r="P5" s="3" t="s">
        <v>75</v>
      </c>
      <c r="Q5" s="3" t="s">
        <v>75</v>
      </c>
      <c r="R5" s="3" t="s">
        <v>75</v>
      </c>
      <c r="S5" s="3" t="s">
        <v>75</v>
      </c>
      <c r="T5" s="3" t="s">
        <v>75</v>
      </c>
      <c r="U5" s="15" t="s">
        <v>99</v>
      </c>
      <c r="V5" s="3" t="s">
        <v>107</v>
      </c>
      <c r="W5" s="15" t="s">
        <v>108</v>
      </c>
      <c r="X5" s="15" t="s">
        <v>99</v>
      </c>
      <c r="Y5" s="3"/>
      <c r="Z5" s="3"/>
      <c r="AA5" s="3" t="s">
        <v>89</v>
      </c>
      <c r="AB5" s="13" t="n">
        <v>46319</v>
      </c>
    </row>
    <row r="6" customFormat="false" ht="57.45" hidden="false" customHeight="false" outlineLevel="0" collapsed="false">
      <c r="A6" s="3" t="s">
        <v>109</v>
      </c>
      <c r="B6" s="3" t="s">
        <v>110</v>
      </c>
      <c r="C6" s="3" t="s">
        <v>111</v>
      </c>
      <c r="D6" s="3" t="s">
        <v>112</v>
      </c>
      <c r="E6" s="3" t="s">
        <v>113</v>
      </c>
      <c r="F6" s="3" t="s">
        <v>114</v>
      </c>
      <c r="G6" s="3" t="s">
        <v>115</v>
      </c>
      <c r="H6" s="3" t="s">
        <v>116</v>
      </c>
      <c r="I6" s="3" t="s">
        <v>75</v>
      </c>
      <c r="J6" s="17" t="s">
        <v>16</v>
      </c>
      <c r="K6" s="3" t="s">
        <v>117</v>
      </c>
      <c r="L6" s="3" t="s">
        <v>118</v>
      </c>
      <c r="M6" s="13" t="n">
        <v>45687</v>
      </c>
      <c r="N6" s="14" t="n">
        <f aca="false">IF(M6="","",M6-'Read Me'!$B$30)</f>
        <v>-632</v>
      </c>
      <c r="O6" s="3" t="s">
        <v>119</v>
      </c>
      <c r="P6" s="3" t="s">
        <v>75</v>
      </c>
      <c r="Q6" s="3" t="s">
        <v>75</v>
      </c>
      <c r="R6" s="3" t="s">
        <v>75</v>
      </c>
      <c r="S6" s="3" t="s">
        <v>75</v>
      </c>
      <c r="T6" s="3" t="s">
        <v>75</v>
      </c>
      <c r="U6" s="15" t="s">
        <v>120</v>
      </c>
      <c r="V6" s="3" t="s">
        <v>121</v>
      </c>
      <c r="W6" s="15" t="s">
        <v>122</v>
      </c>
      <c r="X6" s="15" t="s">
        <v>123</v>
      </c>
      <c r="Y6" s="3"/>
      <c r="Z6" s="3"/>
      <c r="AA6" s="3" t="s">
        <v>89</v>
      </c>
      <c r="AB6" s="13" t="n">
        <v>46319</v>
      </c>
    </row>
    <row r="7" customFormat="false" ht="57.45" hidden="false" customHeight="false" outlineLevel="0" collapsed="false">
      <c r="A7" s="3" t="s">
        <v>124</v>
      </c>
      <c r="B7" s="3" t="s">
        <v>110</v>
      </c>
      <c r="C7" s="3" t="s">
        <v>111</v>
      </c>
      <c r="D7" s="3" t="s">
        <v>71</v>
      </c>
      <c r="E7" s="3" t="s">
        <v>125</v>
      </c>
      <c r="F7" s="3" t="s">
        <v>126</v>
      </c>
      <c r="G7" s="3" t="s">
        <v>127</v>
      </c>
      <c r="H7" s="3" t="s">
        <v>128</v>
      </c>
      <c r="I7" s="3" t="s">
        <v>129</v>
      </c>
      <c r="J7" s="17" t="s">
        <v>16</v>
      </c>
      <c r="K7" s="3" t="s">
        <v>130</v>
      </c>
      <c r="L7" s="3" t="s">
        <v>131</v>
      </c>
      <c r="M7" s="13" t="n">
        <v>46205</v>
      </c>
      <c r="N7" s="14" t="n">
        <f aca="false">IF(M7="","",M7-'Read Me'!$B$30)</f>
        <v>-114</v>
      </c>
      <c r="O7" s="3" t="s">
        <v>132</v>
      </c>
      <c r="P7" s="3" t="s">
        <v>75</v>
      </c>
      <c r="Q7" s="3" t="s">
        <v>75</v>
      </c>
      <c r="R7" s="3" t="s">
        <v>75</v>
      </c>
      <c r="S7" s="3" t="s">
        <v>133</v>
      </c>
      <c r="T7" s="3" t="s">
        <v>75</v>
      </c>
      <c r="U7" s="3" t="s">
        <v>75</v>
      </c>
      <c r="V7" s="3" t="s">
        <v>134</v>
      </c>
      <c r="W7" s="15" t="s">
        <v>135</v>
      </c>
      <c r="X7" s="15" t="s">
        <v>136</v>
      </c>
      <c r="Y7" s="3"/>
      <c r="Z7" s="3"/>
      <c r="AA7" s="3" t="s">
        <v>89</v>
      </c>
      <c r="AB7" s="13" t="n">
        <v>46319</v>
      </c>
    </row>
    <row r="8" customFormat="false" ht="57.45" hidden="false" customHeight="false" outlineLevel="0" collapsed="false">
      <c r="A8" s="3" t="s">
        <v>137</v>
      </c>
      <c r="B8" s="3" t="s">
        <v>110</v>
      </c>
      <c r="C8" s="3" t="s">
        <v>111</v>
      </c>
      <c r="D8" s="3" t="s">
        <v>71</v>
      </c>
      <c r="E8" s="3" t="s">
        <v>138</v>
      </c>
      <c r="F8" s="3" t="s">
        <v>139</v>
      </c>
      <c r="G8" s="3" t="s">
        <v>140</v>
      </c>
      <c r="H8" s="3" t="s">
        <v>141</v>
      </c>
      <c r="I8" s="3" t="s">
        <v>75</v>
      </c>
      <c r="J8" s="17" t="s">
        <v>16</v>
      </c>
      <c r="K8" s="3" t="s">
        <v>142</v>
      </c>
      <c r="L8" s="3" t="s">
        <v>143</v>
      </c>
      <c r="M8" s="13" t="n">
        <v>46205</v>
      </c>
      <c r="N8" s="14" t="n">
        <f aca="false">IF(M8="","",M8-'Read Me'!$B$30)</f>
        <v>-114</v>
      </c>
      <c r="O8" s="3" t="s">
        <v>144</v>
      </c>
      <c r="P8" s="3" t="s">
        <v>75</v>
      </c>
      <c r="Q8" s="3" t="s">
        <v>75</v>
      </c>
      <c r="R8" s="3" t="s">
        <v>75</v>
      </c>
      <c r="S8" s="3" t="s">
        <v>75</v>
      </c>
      <c r="T8" s="3" t="s">
        <v>75</v>
      </c>
      <c r="U8" s="3" t="s">
        <v>75</v>
      </c>
      <c r="V8" s="3" t="s">
        <v>145</v>
      </c>
      <c r="W8" s="15" t="s">
        <v>146</v>
      </c>
      <c r="X8" s="3"/>
      <c r="Y8" s="3"/>
      <c r="Z8" s="3"/>
      <c r="AA8" s="3" t="s">
        <v>80</v>
      </c>
      <c r="AB8" s="13" t="n">
        <v>46319</v>
      </c>
    </row>
    <row r="9" customFormat="false" ht="57.45" hidden="false" customHeight="false" outlineLevel="0" collapsed="false">
      <c r="A9" s="3" t="s">
        <v>147</v>
      </c>
      <c r="B9" s="3" t="s">
        <v>110</v>
      </c>
      <c r="C9" s="3" t="s">
        <v>148</v>
      </c>
      <c r="D9" s="3" t="s">
        <v>149</v>
      </c>
      <c r="E9" s="3" t="s">
        <v>150</v>
      </c>
      <c r="F9" s="3" t="s">
        <v>151</v>
      </c>
      <c r="G9" s="3" t="s">
        <v>152</v>
      </c>
      <c r="H9" s="3" t="s">
        <v>153</v>
      </c>
      <c r="I9" s="3" t="s">
        <v>75</v>
      </c>
      <c r="J9" s="17" t="s">
        <v>16</v>
      </c>
      <c r="K9" s="3" t="s">
        <v>154</v>
      </c>
      <c r="L9" s="3" t="s">
        <v>155</v>
      </c>
      <c r="M9" s="13" t="n">
        <v>45959</v>
      </c>
      <c r="N9" s="14" t="n">
        <f aca="false">IF(M9="","",M9-'Read Me'!$B$30)</f>
        <v>-360</v>
      </c>
      <c r="O9" s="3" t="s">
        <v>75</v>
      </c>
      <c r="P9" s="3" t="s">
        <v>75</v>
      </c>
      <c r="Q9" s="3" t="s">
        <v>75</v>
      </c>
      <c r="R9" s="3" t="s">
        <v>75</v>
      </c>
      <c r="S9" s="3" t="s">
        <v>75</v>
      </c>
      <c r="T9" s="3" t="s">
        <v>75</v>
      </c>
      <c r="U9" s="3" t="s">
        <v>75</v>
      </c>
      <c r="V9" s="3" t="s">
        <v>156</v>
      </c>
      <c r="W9" s="15" t="s">
        <v>157</v>
      </c>
      <c r="X9" s="15" t="s">
        <v>158</v>
      </c>
      <c r="Y9" s="3"/>
      <c r="Z9" s="3"/>
      <c r="AA9" s="3" t="s">
        <v>159</v>
      </c>
      <c r="AB9" s="13" t="n">
        <v>46319</v>
      </c>
    </row>
    <row r="10" customFormat="false" ht="23.85" hidden="false" customHeight="false" outlineLevel="0" collapsed="false">
      <c r="A10" s="3" t="s">
        <v>160</v>
      </c>
      <c r="B10" s="3" t="s">
        <v>110</v>
      </c>
      <c r="C10" s="3" t="s">
        <v>148</v>
      </c>
      <c r="D10" s="3" t="s">
        <v>161</v>
      </c>
      <c r="E10" s="3" t="s">
        <v>162</v>
      </c>
      <c r="F10" s="3" t="s">
        <v>163</v>
      </c>
      <c r="G10" s="3" t="s">
        <v>75</v>
      </c>
      <c r="H10" s="3" t="s">
        <v>75</v>
      </c>
      <c r="I10" s="3" t="s">
        <v>164</v>
      </c>
      <c r="J10" s="17" t="s">
        <v>16</v>
      </c>
      <c r="K10" s="3" t="s">
        <v>75</v>
      </c>
      <c r="L10" s="3" t="s">
        <v>75</v>
      </c>
      <c r="M10" s="13"/>
      <c r="N10" s="14" t="str">
        <f aca="false">IF(M10="","",M10-'Read Me'!$B$30)</f>
        <v/>
      </c>
      <c r="O10" s="3" t="s">
        <v>75</v>
      </c>
      <c r="P10" s="3" t="s">
        <v>165</v>
      </c>
      <c r="Q10" s="15" t="s">
        <v>166</v>
      </c>
      <c r="R10" s="3" t="s">
        <v>75</v>
      </c>
      <c r="S10" s="3" t="s">
        <v>75</v>
      </c>
      <c r="T10" s="3" t="s">
        <v>167</v>
      </c>
      <c r="U10" s="3" t="s">
        <v>75</v>
      </c>
      <c r="V10" s="3" t="s">
        <v>168</v>
      </c>
      <c r="W10" s="15" t="s">
        <v>166</v>
      </c>
      <c r="X10" s="3"/>
      <c r="Y10" s="3"/>
      <c r="Z10" s="3"/>
      <c r="AA10" s="3" t="s">
        <v>159</v>
      </c>
      <c r="AB10" s="13" t="n">
        <v>46319</v>
      </c>
    </row>
    <row r="11" customFormat="false" ht="68.65" hidden="false" customHeight="false" outlineLevel="0" collapsed="false">
      <c r="A11" s="3" t="s">
        <v>169</v>
      </c>
      <c r="B11" s="3" t="s">
        <v>170</v>
      </c>
      <c r="C11" s="3" t="s">
        <v>171</v>
      </c>
      <c r="D11" s="3" t="s">
        <v>71</v>
      </c>
      <c r="E11" s="3" t="s">
        <v>172</v>
      </c>
      <c r="F11" s="3" t="s">
        <v>173</v>
      </c>
      <c r="G11" s="3" t="s">
        <v>174</v>
      </c>
      <c r="H11" s="3" t="s">
        <v>175</v>
      </c>
      <c r="I11" s="3" t="s">
        <v>75</v>
      </c>
      <c r="J11" s="17" t="s">
        <v>16</v>
      </c>
      <c r="K11" s="3" t="s">
        <v>176</v>
      </c>
      <c r="L11" s="3" t="s">
        <v>177</v>
      </c>
      <c r="M11" s="13" t="n">
        <v>46206</v>
      </c>
      <c r="N11" s="14" t="n">
        <f aca="false">IF(M11="","",M11-'Read Me'!$B$30)</f>
        <v>-113</v>
      </c>
      <c r="O11" s="3" t="s">
        <v>178</v>
      </c>
      <c r="P11" s="3" t="s">
        <v>75</v>
      </c>
      <c r="Q11" s="3" t="s">
        <v>75</v>
      </c>
      <c r="R11" s="3" t="s">
        <v>75</v>
      </c>
      <c r="S11" s="3" t="s">
        <v>179</v>
      </c>
      <c r="T11" s="3" t="s">
        <v>75</v>
      </c>
      <c r="U11" s="3" t="s">
        <v>75</v>
      </c>
      <c r="V11" s="3" t="s">
        <v>180</v>
      </c>
      <c r="W11" s="15" t="s">
        <v>181</v>
      </c>
      <c r="X11" s="15" t="s">
        <v>182</v>
      </c>
      <c r="Y11" s="15" t="s">
        <v>183</v>
      </c>
      <c r="Z11" s="3"/>
      <c r="AA11" s="3" t="s">
        <v>89</v>
      </c>
      <c r="AB11" s="13" t="n">
        <v>46319</v>
      </c>
    </row>
    <row r="12" customFormat="false" ht="180.55" hidden="false" customHeight="false" outlineLevel="0" collapsed="false">
      <c r="A12" s="3" t="s">
        <v>184</v>
      </c>
      <c r="B12" s="3" t="s">
        <v>185</v>
      </c>
      <c r="C12" s="3" t="s">
        <v>83</v>
      </c>
      <c r="D12" s="3" t="s">
        <v>71</v>
      </c>
      <c r="E12" s="3" t="s">
        <v>186</v>
      </c>
      <c r="F12" s="3" t="s">
        <v>187</v>
      </c>
      <c r="G12" s="3" t="s">
        <v>188</v>
      </c>
      <c r="H12" s="3" t="s">
        <v>189</v>
      </c>
      <c r="I12" s="3" t="s">
        <v>75</v>
      </c>
      <c r="J12" s="18" t="s">
        <v>12</v>
      </c>
      <c r="K12" s="3" t="s">
        <v>190</v>
      </c>
      <c r="L12" s="3" t="s">
        <v>191</v>
      </c>
      <c r="M12" s="13" t="n">
        <v>46398</v>
      </c>
      <c r="N12" s="14" t="n">
        <f aca="false">IF(M12="","",M12-'Read Me'!$B$30)</f>
        <v>79</v>
      </c>
      <c r="O12" s="3" t="s">
        <v>192</v>
      </c>
      <c r="P12" s="3" t="s">
        <v>75</v>
      </c>
      <c r="Q12" s="3" t="s">
        <v>75</v>
      </c>
      <c r="R12" s="3" t="s">
        <v>193</v>
      </c>
      <c r="S12" s="3" t="s">
        <v>194</v>
      </c>
      <c r="T12" s="3" t="s">
        <v>195</v>
      </c>
      <c r="U12" s="3" t="s">
        <v>196</v>
      </c>
      <c r="V12" s="3" t="s">
        <v>197</v>
      </c>
      <c r="W12" s="15" t="s">
        <v>198</v>
      </c>
      <c r="X12" s="15" t="s">
        <v>199</v>
      </c>
      <c r="Y12" s="15" t="s">
        <v>200</v>
      </c>
      <c r="Z12" s="3" t="s">
        <v>201</v>
      </c>
      <c r="AA12" s="3" t="s">
        <v>80</v>
      </c>
      <c r="AB12" s="13" t="n">
        <v>46319</v>
      </c>
    </row>
    <row r="13" customFormat="false" ht="57.45" hidden="false" customHeight="false" outlineLevel="0" collapsed="false">
      <c r="A13" s="3" t="s">
        <v>202</v>
      </c>
      <c r="B13" s="3" t="s">
        <v>185</v>
      </c>
      <c r="C13" s="3" t="s">
        <v>83</v>
      </c>
      <c r="D13" s="3" t="s">
        <v>71</v>
      </c>
      <c r="E13" s="3" t="s">
        <v>203</v>
      </c>
      <c r="F13" s="3" t="s">
        <v>204</v>
      </c>
      <c r="G13" s="3" t="s">
        <v>205</v>
      </c>
      <c r="H13" s="3" t="s">
        <v>206</v>
      </c>
      <c r="I13" s="3" t="s">
        <v>75</v>
      </c>
      <c r="J13" s="18" t="s">
        <v>12</v>
      </c>
      <c r="K13" s="3" t="s">
        <v>190</v>
      </c>
      <c r="L13" s="3" t="s">
        <v>207</v>
      </c>
      <c r="M13" s="13" t="n">
        <v>46470</v>
      </c>
      <c r="N13" s="14" t="n">
        <f aca="false">IF(M13="","",M13-'Read Me'!$B$30)</f>
        <v>151</v>
      </c>
      <c r="O13" s="3" t="s">
        <v>75</v>
      </c>
      <c r="P13" s="3" t="s">
        <v>75</v>
      </c>
      <c r="Q13" s="3" t="s">
        <v>75</v>
      </c>
      <c r="R13" s="3" t="s">
        <v>75</v>
      </c>
      <c r="S13" s="3" t="s">
        <v>208</v>
      </c>
      <c r="T13" s="3" t="s">
        <v>209</v>
      </c>
      <c r="U13" s="3" t="s">
        <v>75</v>
      </c>
      <c r="V13" s="3" t="s">
        <v>210</v>
      </c>
      <c r="W13" s="15" t="s">
        <v>211</v>
      </c>
      <c r="X13" s="15" t="s">
        <v>212</v>
      </c>
      <c r="Y13" s="3"/>
      <c r="Z13" s="3"/>
      <c r="AA13" s="3" t="s">
        <v>159</v>
      </c>
      <c r="AB13" s="13" t="n">
        <v>46319</v>
      </c>
    </row>
    <row r="14" customFormat="false" ht="57.45" hidden="false" customHeight="false" outlineLevel="0" collapsed="false">
      <c r="A14" s="3" t="s">
        <v>213</v>
      </c>
      <c r="B14" s="3" t="s">
        <v>185</v>
      </c>
      <c r="C14" s="3" t="s">
        <v>83</v>
      </c>
      <c r="D14" s="3" t="s">
        <v>214</v>
      </c>
      <c r="E14" s="3" t="s">
        <v>215</v>
      </c>
      <c r="F14" s="3" t="s">
        <v>216</v>
      </c>
      <c r="G14" s="3" t="s">
        <v>217</v>
      </c>
      <c r="H14" s="3" t="s">
        <v>75</v>
      </c>
      <c r="I14" s="3" t="s">
        <v>218</v>
      </c>
      <c r="J14" s="18" t="s">
        <v>12</v>
      </c>
      <c r="K14" s="3" t="s">
        <v>75</v>
      </c>
      <c r="L14" s="3" t="s">
        <v>75</v>
      </c>
      <c r="M14" s="13"/>
      <c r="N14" s="14" t="str">
        <f aca="false">IF(M14="","",M14-'Read Me'!$B$30)</f>
        <v/>
      </c>
      <c r="O14" s="3" t="s">
        <v>75</v>
      </c>
      <c r="P14" s="3" t="s">
        <v>219</v>
      </c>
      <c r="Q14" s="15" t="s">
        <v>220</v>
      </c>
      <c r="R14" s="3" t="s">
        <v>75</v>
      </c>
      <c r="S14" s="3" t="s">
        <v>75</v>
      </c>
      <c r="T14" s="3" t="s">
        <v>221</v>
      </c>
      <c r="U14" s="15" t="s">
        <v>220</v>
      </c>
      <c r="V14" s="3" t="s">
        <v>222</v>
      </c>
      <c r="W14" s="15" t="s">
        <v>220</v>
      </c>
      <c r="X14" s="3"/>
      <c r="Y14" s="3"/>
      <c r="Z14" s="3"/>
      <c r="AA14" s="3" t="s">
        <v>89</v>
      </c>
      <c r="AB14" s="13" t="n">
        <v>46319</v>
      </c>
    </row>
    <row r="15" customFormat="false" ht="68.65" hidden="false" customHeight="false" outlineLevel="0" collapsed="false">
      <c r="A15" s="3" t="s">
        <v>223</v>
      </c>
      <c r="B15" s="3" t="s">
        <v>185</v>
      </c>
      <c r="C15" s="3" t="s">
        <v>83</v>
      </c>
      <c r="D15" s="3" t="s">
        <v>71</v>
      </c>
      <c r="E15" s="3" t="s">
        <v>224</v>
      </c>
      <c r="F15" s="3" t="s">
        <v>225</v>
      </c>
      <c r="G15" s="3" t="s">
        <v>205</v>
      </c>
      <c r="H15" s="3" t="s">
        <v>226</v>
      </c>
      <c r="I15" s="3" t="s">
        <v>75</v>
      </c>
      <c r="J15" s="17" t="s">
        <v>16</v>
      </c>
      <c r="K15" s="3" t="s">
        <v>190</v>
      </c>
      <c r="L15" s="3" t="s">
        <v>227</v>
      </c>
      <c r="M15" s="13" t="n">
        <v>46216</v>
      </c>
      <c r="N15" s="14" t="n">
        <f aca="false">IF(M15="","",M15-'Read Me'!$B$30)</f>
        <v>-103</v>
      </c>
      <c r="O15" s="3" t="s">
        <v>75</v>
      </c>
      <c r="P15" s="3" t="s">
        <v>75</v>
      </c>
      <c r="Q15" s="3" t="s">
        <v>75</v>
      </c>
      <c r="R15" s="3" t="s">
        <v>75</v>
      </c>
      <c r="S15" s="3" t="s">
        <v>228</v>
      </c>
      <c r="T15" s="3" t="s">
        <v>229</v>
      </c>
      <c r="U15" s="3" t="s">
        <v>75</v>
      </c>
      <c r="V15" s="3" t="s">
        <v>230</v>
      </c>
      <c r="W15" s="15" t="s">
        <v>231</v>
      </c>
      <c r="X15" s="3"/>
      <c r="Y15" s="3"/>
      <c r="Z15" s="3"/>
      <c r="AA15" s="3" t="s">
        <v>159</v>
      </c>
      <c r="AB15" s="13" t="n">
        <v>46319</v>
      </c>
    </row>
    <row r="16" customFormat="false" ht="46.25" hidden="false" customHeight="false" outlineLevel="0" collapsed="false">
      <c r="A16" s="3" t="s">
        <v>232</v>
      </c>
      <c r="B16" s="3" t="s">
        <v>185</v>
      </c>
      <c r="C16" s="3" t="s">
        <v>83</v>
      </c>
      <c r="D16" s="3" t="s">
        <v>71</v>
      </c>
      <c r="E16" s="3" t="s">
        <v>233</v>
      </c>
      <c r="F16" s="3" t="s">
        <v>234</v>
      </c>
      <c r="G16" s="3" t="s">
        <v>205</v>
      </c>
      <c r="H16" s="3" t="s">
        <v>235</v>
      </c>
      <c r="I16" s="3" t="s">
        <v>75</v>
      </c>
      <c r="J16" s="17" t="s">
        <v>16</v>
      </c>
      <c r="K16" s="3" t="s">
        <v>190</v>
      </c>
      <c r="L16" s="3" t="s">
        <v>236</v>
      </c>
      <c r="M16" s="13" t="n">
        <v>46238</v>
      </c>
      <c r="N16" s="14" t="n">
        <f aca="false">IF(M16="","",M16-'Read Me'!$B$30)</f>
        <v>-81</v>
      </c>
      <c r="O16" s="3" t="s">
        <v>75</v>
      </c>
      <c r="P16" s="3" t="s">
        <v>75</v>
      </c>
      <c r="Q16" s="3" t="s">
        <v>75</v>
      </c>
      <c r="R16" s="3" t="s">
        <v>75</v>
      </c>
      <c r="S16" s="3" t="s">
        <v>237</v>
      </c>
      <c r="T16" s="3" t="s">
        <v>238</v>
      </c>
      <c r="U16" s="3" t="s">
        <v>75</v>
      </c>
      <c r="V16" s="3" t="s">
        <v>239</v>
      </c>
      <c r="W16" s="15" t="s">
        <v>240</v>
      </c>
      <c r="X16" s="3"/>
      <c r="Y16" s="3"/>
      <c r="Z16" s="3"/>
      <c r="AA16" s="3" t="s">
        <v>159</v>
      </c>
      <c r="AB16" s="13" t="n">
        <v>46319</v>
      </c>
    </row>
    <row r="17" customFormat="false" ht="46.25" hidden="false" customHeight="false" outlineLevel="0" collapsed="false">
      <c r="A17" s="3" t="s">
        <v>241</v>
      </c>
      <c r="B17" s="3" t="s">
        <v>185</v>
      </c>
      <c r="C17" s="3" t="s">
        <v>83</v>
      </c>
      <c r="D17" s="3" t="s">
        <v>71</v>
      </c>
      <c r="E17" s="3" t="s">
        <v>242</v>
      </c>
      <c r="F17" s="3" t="s">
        <v>243</v>
      </c>
      <c r="G17" s="3" t="s">
        <v>244</v>
      </c>
      <c r="H17" s="3" t="s">
        <v>245</v>
      </c>
      <c r="I17" s="3" t="s">
        <v>75</v>
      </c>
      <c r="J17" s="17" t="s">
        <v>16</v>
      </c>
      <c r="K17" s="3" t="s">
        <v>190</v>
      </c>
      <c r="L17" s="3" t="s">
        <v>246</v>
      </c>
      <c r="M17" s="13" t="n">
        <v>46300</v>
      </c>
      <c r="N17" s="14" t="n">
        <f aca="false">IF(M17="","",M17-'Read Me'!$B$30)</f>
        <v>-19</v>
      </c>
      <c r="O17" s="3" t="s">
        <v>247</v>
      </c>
      <c r="P17" s="3" t="s">
        <v>75</v>
      </c>
      <c r="Q17" s="3" t="s">
        <v>75</v>
      </c>
      <c r="R17" s="3" t="s">
        <v>75</v>
      </c>
      <c r="S17" s="3" t="s">
        <v>245</v>
      </c>
      <c r="T17" s="3" t="s">
        <v>248</v>
      </c>
      <c r="U17" s="3" t="s">
        <v>75</v>
      </c>
      <c r="V17" s="3" t="s">
        <v>249</v>
      </c>
      <c r="W17" s="15" t="s">
        <v>250</v>
      </c>
      <c r="X17" s="15" t="s">
        <v>251</v>
      </c>
      <c r="Y17" s="3"/>
      <c r="Z17" s="3"/>
      <c r="AA17" s="3" t="s">
        <v>89</v>
      </c>
      <c r="AB17" s="13" t="n">
        <v>46319</v>
      </c>
    </row>
    <row r="18" customFormat="false" ht="68.65" hidden="false" customHeight="false" outlineLevel="0" collapsed="false">
      <c r="A18" s="3" t="s">
        <v>252</v>
      </c>
      <c r="B18" s="3" t="s">
        <v>185</v>
      </c>
      <c r="C18" s="3" t="s">
        <v>83</v>
      </c>
      <c r="D18" s="3" t="s">
        <v>71</v>
      </c>
      <c r="E18" s="3" t="s">
        <v>253</v>
      </c>
      <c r="F18" s="3" t="s">
        <v>254</v>
      </c>
      <c r="G18" s="3" t="s">
        <v>205</v>
      </c>
      <c r="H18" s="3" t="s">
        <v>245</v>
      </c>
      <c r="I18" s="3" t="s">
        <v>75</v>
      </c>
      <c r="J18" s="17" t="s">
        <v>16</v>
      </c>
      <c r="K18" s="3" t="s">
        <v>190</v>
      </c>
      <c r="L18" s="3" t="s">
        <v>255</v>
      </c>
      <c r="M18" s="13" t="n">
        <v>46308</v>
      </c>
      <c r="N18" s="14" t="n">
        <f aca="false">IF(M18="","",M18-'Read Me'!$B$30)</f>
        <v>-11</v>
      </c>
      <c r="O18" s="3" t="s">
        <v>247</v>
      </c>
      <c r="P18" s="3" t="s">
        <v>75</v>
      </c>
      <c r="Q18" s="3" t="s">
        <v>75</v>
      </c>
      <c r="R18" s="3" t="s">
        <v>75</v>
      </c>
      <c r="S18" s="3" t="s">
        <v>245</v>
      </c>
      <c r="T18" s="3" t="s">
        <v>256</v>
      </c>
      <c r="U18" s="3" t="s">
        <v>75</v>
      </c>
      <c r="V18" s="3" t="s">
        <v>257</v>
      </c>
      <c r="W18" s="15" t="s">
        <v>250</v>
      </c>
      <c r="X18" s="15" t="s">
        <v>258</v>
      </c>
      <c r="Y18" s="15" t="s">
        <v>251</v>
      </c>
      <c r="Z18" s="3"/>
      <c r="AA18" s="3" t="s">
        <v>80</v>
      </c>
      <c r="AB18" s="13" t="n">
        <v>46319</v>
      </c>
    </row>
    <row r="19" customFormat="false" ht="68.65" hidden="false" customHeight="false" outlineLevel="0" collapsed="false">
      <c r="A19" s="3" t="s">
        <v>259</v>
      </c>
      <c r="B19" s="3" t="s">
        <v>185</v>
      </c>
      <c r="C19" s="3" t="s">
        <v>83</v>
      </c>
      <c r="D19" s="3" t="s">
        <v>71</v>
      </c>
      <c r="E19" s="3" t="s">
        <v>260</v>
      </c>
      <c r="F19" s="3" t="s">
        <v>261</v>
      </c>
      <c r="G19" s="3" t="s">
        <v>262</v>
      </c>
      <c r="H19" s="3" t="s">
        <v>263</v>
      </c>
      <c r="I19" s="3" t="s">
        <v>264</v>
      </c>
      <c r="J19" s="17" t="s">
        <v>16</v>
      </c>
      <c r="K19" s="3" t="s">
        <v>75</v>
      </c>
      <c r="L19" s="3" t="s">
        <v>265</v>
      </c>
      <c r="M19" s="13"/>
      <c r="N19" s="14" t="str">
        <f aca="false">IF(M19="","",M19-'Read Me'!$B$30)</f>
        <v/>
      </c>
      <c r="O19" s="3" t="s">
        <v>75</v>
      </c>
      <c r="P19" s="3" t="s">
        <v>266</v>
      </c>
      <c r="Q19" s="3" t="s">
        <v>75</v>
      </c>
      <c r="R19" s="3" t="s">
        <v>75</v>
      </c>
      <c r="S19" s="3" t="s">
        <v>75</v>
      </c>
      <c r="T19" s="3" t="s">
        <v>75</v>
      </c>
      <c r="U19" s="3" t="s">
        <v>75</v>
      </c>
      <c r="V19" s="3" t="s">
        <v>267</v>
      </c>
      <c r="W19" s="15" t="s">
        <v>268</v>
      </c>
      <c r="X19" s="3"/>
      <c r="Y19" s="3"/>
      <c r="Z19" s="3"/>
      <c r="AA19" s="3" t="s">
        <v>159</v>
      </c>
      <c r="AB19" s="13" t="n">
        <v>46319</v>
      </c>
    </row>
    <row r="20" customFormat="false" ht="46.25" hidden="false" customHeight="false" outlineLevel="0" collapsed="false">
      <c r="A20" s="3" t="s">
        <v>269</v>
      </c>
      <c r="B20" s="3" t="s">
        <v>185</v>
      </c>
      <c r="C20" s="3" t="s">
        <v>83</v>
      </c>
      <c r="D20" s="3" t="s">
        <v>270</v>
      </c>
      <c r="E20" s="3" t="s">
        <v>271</v>
      </c>
      <c r="F20" s="3" t="s">
        <v>272</v>
      </c>
      <c r="G20" s="3" t="s">
        <v>273</v>
      </c>
      <c r="H20" s="3" t="s">
        <v>75</v>
      </c>
      <c r="I20" s="3" t="s">
        <v>274</v>
      </c>
      <c r="J20" s="17" t="s">
        <v>16</v>
      </c>
      <c r="K20" s="3" t="s">
        <v>75</v>
      </c>
      <c r="L20" s="3" t="s">
        <v>275</v>
      </c>
      <c r="M20" s="13" t="n">
        <v>46161</v>
      </c>
      <c r="N20" s="14" t="n">
        <f aca="false">IF(M20="","",M20-'Read Me'!$B$30)</f>
        <v>-158</v>
      </c>
      <c r="O20" s="3" t="s">
        <v>75</v>
      </c>
      <c r="P20" s="3" t="s">
        <v>276</v>
      </c>
      <c r="Q20" s="15" t="s">
        <v>277</v>
      </c>
      <c r="R20" s="3" t="s">
        <v>75</v>
      </c>
      <c r="S20" s="3" t="s">
        <v>75</v>
      </c>
      <c r="T20" s="3" t="s">
        <v>277</v>
      </c>
      <c r="U20" s="15" t="s">
        <v>278</v>
      </c>
      <c r="V20" s="3" t="s">
        <v>279</v>
      </c>
      <c r="W20" s="15" t="s">
        <v>280</v>
      </c>
      <c r="X20" s="3"/>
      <c r="Y20" s="3"/>
      <c r="Z20" s="3"/>
      <c r="AA20" s="3" t="s">
        <v>89</v>
      </c>
      <c r="AB20" s="13" t="n">
        <v>46319</v>
      </c>
    </row>
    <row r="21" customFormat="false" ht="79.85" hidden="false" customHeight="false" outlineLevel="0" collapsed="false">
      <c r="A21" s="3" t="s">
        <v>281</v>
      </c>
      <c r="B21" s="3" t="s">
        <v>185</v>
      </c>
      <c r="C21" s="3" t="s">
        <v>83</v>
      </c>
      <c r="D21" s="3" t="s">
        <v>282</v>
      </c>
      <c r="E21" s="3" t="s">
        <v>283</v>
      </c>
      <c r="F21" s="3" t="s">
        <v>284</v>
      </c>
      <c r="G21" s="3" t="s">
        <v>285</v>
      </c>
      <c r="H21" s="3" t="s">
        <v>286</v>
      </c>
      <c r="I21" s="3" t="s">
        <v>75</v>
      </c>
      <c r="J21" s="17" t="s">
        <v>16</v>
      </c>
      <c r="K21" s="3" t="s">
        <v>287</v>
      </c>
      <c r="L21" s="3" t="s">
        <v>288</v>
      </c>
      <c r="M21" s="13"/>
      <c r="N21" s="14" t="str">
        <f aca="false">IF(M21="","",M21-'Read Me'!$B$30)</f>
        <v/>
      </c>
      <c r="O21" s="3" t="s">
        <v>75</v>
      </c>
      <c r="P21" s="3" t="s">
        <v>75</v>
      </c>
      <c r="Q21" s="3" t="s">
        <v>75</v>
      </c>
      <c r="R21" s="3" t="s">
        <v>75</v>
      </c>
      <c r="S21" s="3" t="s">
        <v>289</v>
      </c>
      <c r="T21" s="3" t="s">
        <v>75</v>
      </c>
      <c r="U21" s="3" t="s">
        <v>290</v>
      </c>
      <c r="V21" s="3" t="s">
        <v>291</v>
      </c>
      <c r="W21" s="15" t="s">
        <v>292</v>
      </c>
      <c r="X21" s="15" t="s">
        <v>293</v>
      </c>
      <c r="Y21" s="3"/>
      <c r="Z21" s="3"/>
      <c r="AA21" s="3" t="s">
        <v>159</v>
      </c>
      <c r="AB21" s="13" t="n">
        <v>46319</v>
      </c>
    </row>
    <row r="22" customFormat="false" ht="68.65" hidden="false" customHeight="false" outlineLevel="0" collapsed="false">
      <c r="A22" s="3" t="s">
        <v>294</v>
      </c>
      <c r="B22" s="3" t="s">
        <v>185</v>
      </c>
      <c r="C22" s="3" t="s">
        <v>83</v>
      </c>
      <c r="D22" s="3" t="s">
        <v>71</v>
      </c>
      <c r="E22" s="3" t="s">
        <v>295</v>
      </c>
      <c r="F22" s="3" t="s">
        <v>296</v>
      </c>
      <c r="G22" s="3" t="s">
        <v>297</v>
      </c>
      <c r="H22" s="3" t="s">
        <v>298</v>
      </c>
      <c r="I22" s="3" t="s">
        <v>75</v>
      </c>
      <c r="J22" s="17" t="s">
        <v>16</v>
      </c>
      <c r="K22" s="3" t="s">
        <v>190</v>
      </c>
      <c r="L22" s="3" t="s">
        <v>299</v>
      </c>
      <c r="M22" s="13" t="n">
        <v>46297</v>
      </c>
      <c r="N22" s="14" t="n">
        <f aca="false">IF(M22="","",M22-'Read Me'!$B$30)</f>
        <v>-22</v>
      </c>
      <c r="O22" s="3" t="s">
        <v>300</v>
      </c>
      <c r="P22" s="3" t="s">
        <v>75</v>
      </c>
      <c r="Q22" s="3" t="s">
        <v>75</v>
      </c>
      <c r="R22" s="3" t="s">
        <v>75</v>
      </c>
      <c r="S22" s="3" t="s">
        <v>301</v>
      </c>
      <c r="T22" s="3" t="s">
        <v>75</v>
      </c>
      <c r="U22" s="3" t="s">
        <v>75</v>
      </c>
      <c r="V22" s="3" t="s">
        <v>302</v>
      </c>
      <c r="W22" s="15" t="s">
        <v>303</v>
      </c>
      <c r="X22" s="3"/>
      <c r="Y22" s="3"/>
      <c r="Z22" s="3"/>
      <c r="AA22" s="3" t="s">
        <v>89</v>
      </c>
      <c r="AB22" s="13" t="n">
        <v>46319</v>
      </c>
    </row>
    <row r="23" customFormat="false" ht="79.85" hidden="false" customHeight="false" outlineLevel="0" collapsed="false">
      <c r="A23" s="3" t="s">
        <v>304</v>
      </c>
      <c r="B23" s="3" t="s">
        <v>305</v>
      </c>
      <c r="C23" s="3" t="s">
        <v>111</v>
      </c>
      <c r="D23" s="3" t="s">
        <v>306</v>
      </c>
      <c r="E23" s="3" t="s">
        <v>307</v>
      </c>
      <c r="F23" s="3" t="s">
        <v>308</v>
      </c>
      <c r="G23" s="3" t="s">
        <v>309</v>
      </c>
      <c r="H23" s="3" t="s">
        <v>310</v>
      </c>
      <c r="I23" s="3" t="s">
        <v>75</v>
      </c>
      <c r="J23" s="16" t="s">
        <v>14</v>
      </c>
      <c r="K23" s="3" t="s">
        <v>75</v>
      </c>
      <c r="L23" s="3" t="s">
        <v>311</v>
      </c>
      <c r="M23" s="13" t="n">
        <v>46391</v>
      </c>
      <c r="N23" s="14" t="n">
        <f aca="false">IF(M23="","",M23-'Read Me'!$B$30)</f>
        <v>72</v>
      </c>
      <c r="O23" s="3" t="s">
        <v>75</v>
      </c>
      <c r="P23" s="3" t="s">
        <v>75</v>
      </c>
      <c r="Q23" s="3" t="s">
        <v>75</v>
      </c>
      <c r="R23" s="3" t="s">
        <v>75</v>
      </c>
      <c r="S23" s="3" t="s">
        <v>312</v>
      </c>
      <c r="T23" s="3" t="s">
        <v>313</v>
      </c>
      <c r="U23" s="15" t="s">
        <v>314</v>
      </c>
      <c r="V23" s="3" t="s">
        <v>315</v>
      </c>
      <c r="W23" s="15" t="s">
        <v>314</v>
      </c>
      <c r="X23" s="15" t="s">
        <v>316</v>
      </c>
      <c r="Y23" s="3"/>
      <c r="Z23" s="3"/>
      <c r="AA23" s="3" t="s">
        <v>89</v>
      </c>
      <c r="AB23" s="13" t="n">
        <v>46319</v>
      </c>
    </row>
    <row r="24" customFormat="false" ht="46.25" hidden="false" customHeight="false" outlineLevel="0" collapsed="false">
      <c r="A24" s="3" t="s">
        <v>317</v>
      </c>
      <c r="B24" s="3" t="s">
        <v>305</v>
      </c>
      <c r="C24" s="3" t="s">
        <v>111</v>
      </c>
      <c r="D24" s="3" t="s">
        <v>71</v>
      </c>
      <c r="E24" s="3" t="s">
        <v>318</v>
      </c>
      <c r="F24" s="3" t="s">
        <v>319</v>
      </c>
      <c r="G24" s="3" t="s">
        <v>320</v>
      </c>
      <c r="H24" s="3" t="s">
        <v>321</v>
      </c>
      <c r="I24" s="3" t="s">
        <v>322</v>
      </c>
      <c r="J24" s="17" t="s">
        <v>16</v>
      </c>
      <c r="K24" s="3" t="s">
        <v>323</v>
      </c>
      <c r="L24" s="3" t="s">
        <v>324</v>
      </c>
      <c r="M24" s="13" t="n">
        <v>46069</v>
      </c>
      <c r="N24" s="14" t="n">
        <f aca="false">IF(M24="","",M24-'Read Me'!$B$30)</f>
        <v>-250</v>
      </c>
      <c r="O24" s="3" t="s">
        <v>325</v>
      </c>
      <c r="P24" s="3" t="s">
        <v>75</v>
      </c>
      <c r="Q24" s="3" t="s">
        <v>75</v>
      </c>
      <c r="R24" s="3" t="s">
        <v>75</v>
      </c>
      <c r="S24" s="3" t="s">
        <v>326</v>
      </c>
      <c r="T24" s="3" t="s">
        <v>75</v>
      </c>
      <c r="U24" s="15" t="s">
        <v>327</v>
      </c>
      <c r="V24" s="3" t="s">
        <v>328</v>
      </c>
      <c r="W24" s="15" t="s">
        <v>329</v>
      </c>
      <c r="X24" s="15" t="s">
        <v>330</v>
      </c>
      <c r="Y24" s="15" t="s">
        <v>331</v>
      </c>
      <c r="Z24" s="3"/>
      <c r="AA24" s="3" t="s">
        <v>89</v>
      </c>
      <c r="AB24" s="13" t="n">
        <v>46319</v>
      </c>
    </row>
    <row r="25" customFormat="false" ht="91" hidden="false" customHeight="false" outlineLevel="0" collapsed="false">
      <c r="A25" s="3" t="s">
        <v>332</v>
      </c>
      <c r="B25" s="3" t="s">
        <v>305</v>
      </c>
      <c r="C25" s="3" t="s">
        <v>111</v>
      </c>
      <c r="D25" s="3" t="s">
        <v>71</v>
      </c>
      <c r="E25" s="3" t="s">
        <v>333</v>
      </c>
      <c r="F25" s="3" t="s">
        <v>334</v>
      </c>
      <c r="G25" s="3" t="s">
        <v>335</v>
      </c>
      <c r="H25" s="3" t="s">
        <v>336</v>
      </c>
      <c r="I25" s="3" t="s">
        <v>75</v>
      </c>
      <c r="J25" s="17" t="s">
        <v>16</v>
      </c>
      <c r="K25" s="3" t="s">
        <v>337</v>
      </c>
      <c r="L25" s="3" t="s">
        <v>338</v>
      </c>
      <c r="M25" s="13" t="n">
        <v>46197</v>
      </c>
      <c r="N25" s="14" t="n">
        <f aca="false">IF(M25="","",M25-'Read Me'!$B$30)</f>
        <v>-122</v>
      </c>
      <c r="O25" s="3" t="s">
        <v>75</v>
      </c>
      <c r="P25" s="3" t="s">
        <v>75</v>
      </c>
      <c r="Q25" s="3" t="s">
        <v>75</v>
      </c>
      <c r="R25" s="3" t="s">
        <v>339</v>
      </c>
      <c r="S25" s="3" t="s">
        <v>75</v>
      </c>
      <c r="T25" s="3" t="s">
        <v>75</v>
      </c>
      <c r="U25" s="3" t="s">
        <v>75</v>
      </c>
      <c r="V25" s="3" t="s">
        <v>340</v>
      </c>
      <c r="W25" s="15" t="s">
        <v>341</v>
      </c>
      <c r="X25" s="15" t="s">
        <v>342</v>
      </c>
      <c r="Y25" s="3"/>
      <c r="Z25" s="3"/>
      <c r="AA25" s="3" t="s">
        <v>89</v>
      </c>
      <c r="AB25" s="13" t="n">
        <v>46319</v>
      </c>
    </row>
    <row r="26" customFormat="false" ht="35.05" hidden="false" customHeight="false" outlineLevel="0" collapsed="false">
      <c r="A26" s="3" t="s">
        <v>343</v>
      </c>
      <c r="B26" s="3" t="s">
        <v>305</v>
      </c>
      <c r="C26" s="3" t="s">
        <v>111</v>
      </c>
      <c r="D26" s="3" t="s">
        <v>344</v>
      </c>
      <c r="E26" s="3" t="s">
        <v>345</v>
      </c>
      <c r="F26" s="3" t="s">
        <v>346</v>
      </c>
      <c r="G26" s="3" t="s">
        <v>347</v>
      </c>
      <c r="H26" s="3" t="s">
        <v>348</v>
      </c>
      <c r="I26" s="3" t="s">
        <v>75</v>
      </c>
      <c r="J26" s="17" t="s">
        <v>16</v>
      </c>
      <c r="K26" s="3" t="s">
        <v>75</v>
      </c>
      <c r="L26" s="3" t="s">
        <v>349</v>
      </c>
      <c r="M26" s="13" t="n">
        <v>46329</v>
      </c>
      <c r="N26" s="14" t="n">
        <f aca="false">IF(M26="","",M26-'Read Me'!$B$30)</f>
        <v>10</v>
      </c>
      <c r="O26" s="3" t="s">
        <v>75</v>
      </c>
      <c r="P26" s="3" t="s">
        <v>75</v>
      </c>
      <c r="Q26" s="3" t="s">
        <v>75</v>
      </c>
      <c r="R26" s="3" t="s">
        <v>75</v>
      </c>
      <c r="S26" s="3" t="s">
        <v>75</v>
      </c>
      <c r="T26" s="3" t="s">
        <v>75</v>
      </c>
      <c r="U26" s="3" t="s">
        <v>75</v>
      </c>
      <c r="V26" s="3" t="s">
        <v>350</v>
      </c>
      <c r="W26" s="15" t="s">
        <v>351</v>
      </c>
      <c r="X26" s="15" t="s">
        <v>352</v>
      </c>
      <c r="Y26" s="3"/>
      <c r="Z26" s="3"/>
      <c r="AA26" s="3" t="s">
        <v>89</v>
      </c>
      <c r="AB26" s="13" t="n">
        <v>46319</v>
      </c>
    </row>
    <row r="27" customFormat="false" ht="46.25" hidden="false" customHeight="false" outlineLevel="0" collapsed="false">
      <c r="A27" s="3" t="s">
        <v>353</v>
      </c>
      <c r="B27" s="3" t="s">
        <v>305</v>
      </c>
      <c r="C27" s="3" t="s">
        <v>111</v>
      </c>
      <c r="D27" s="3" t="s">
        <v>354</v>
      </c>
      <c r="E27" s="3" t="s">
        <v>355</v>
      </c>
      <c r="F27" s="3" t="s">
        <v>356</v>
      </c>
      <c r="G27" s="3" t="s">
        <v>357</v>
      </c>
      <c r="H27" s="3" t="s">
        <v>358</v>
      </c>
      <c r="I27" s="3" t="s">
        <v>359</v>
      </c>
      <c r="J27" s="17" t="s">
        <v>16</v>
      </c>
      <c r="K27" s="3" t="s">
        <v>75</v>
      </c>
      <c r="L27" s="3" t="s">
        <v>75</v>
      </c>
      <c r="M27" s="13"/>
      <c r="N27" s="14" t="str">
        <f aca="false">IF(M27="","",M27-'Read Me'!$B$30)</f>
        <v/>
      </c>
      <c r="O27" s="3" t="s">
        <v>75</v>
      </c>
      <c r="P27" s="3" t="s">
        <v>360</v>
      </c>
      <c r="Q27" s="15" t="s">
        <v>361</v>
      </c>
      <c r="R27" s="3" t="s">
        <v>75</v>
      </c>
      <c r="S27" s="3" t="s">
        <v>75</v>
      </c>
      <c r="T27" s="3" t="s">
        <v>362</v>
      </c>
      <c r="U27" s="15" t="s">
        <v>363</v>
      </c>
      <c r="V27" s="3" t="s">
        <v>364</v>
      </c>
      <c r="W27" s="15" t="s">
        <v>361</v>
      </c>
      <c r="X27" s="15" t="s">
        <v>365</v>
      </c>
      <c r="Y27" s="3"/>
      <c r="Z27" s="3"/>
      <c r="AA27" s="3" t="s">
        <v>89</v>
      </c>
      <c r="AB27" s="13" t="n">
        <v>46319</v>
      </c>
    </row>
    <row r="28" customFormat="false" ht="46.25" hidden="false" customHeight="false" outlineLevel="0" collapsed="false">
      <c r="A28" s="3" t="s">
        <v>366</v>
      </c>
      <c r="B28" s="3" t="s">
        <v>305</v>
      </c>
      <c r="C28" s="3" t="s">
        <v>111</v>
      </c>
      <c r="D28" s="3" t="s">
        <v>367</v>
      </c>
      <c r="E28" s="3" t="s">
        <v>368</v>
      </c>
      <c r="F28" s="3" t="s">
        <v>369</v>
      </c>
      <c r="G28" s="3" t="s">
        <v>309</v>
      </c>
      <c r="H28" s="3" t="s">
        <v>370</v>
      </c>
      <c r="I28" s="3" t="s">
        <v>371</v>
      </c>
      <c r="J28" s="17" t="s">
        <v>16</v>
      </c>
      <c r="K28" s="3" t="s">
        <v>75</v>
      </c>
      <c r="L28" s="3" t="s">
        <v>372</v>
      </c>
      <c r="M28" s="13"/>
      <c r="N28" s="14" t="str">
        <f aca="false">IF(M28="","",M28-'Read Me'!$B$30)</f>
        <v/>
      </c>
      <c r="O28" s="3" t="s">
        <v>75</v>
      </c>
      <c r="P28" s="3" t="s">
        <v>373</v>
      </c>
      <c r="Q28" s="15" t="s">
        <v>374</v>
      </c>
      <c r="R28" s="3" t="s">
        <v>75</v>
      </c>
      <c r="S28" s="3" t="s">
        <v>75</v>
      </c>
      <c r="T28" s="3" t="s">
        <v>375</v>
      </c>
      <c r="U28" s="3" t="s">
        <v>75</v>
      </c>
      <c r="V28" s="3" t="s">
        <v>376</v>
      </c>
      <c r="W28" s="15" t="s">
        <v>374</v>
      </c>
      <c r="X28" s="15" t="s">
        <v>377</v>
      </c>
      <c r="Y28" s="3"/>
      <c r="Z28" s="3"/>
      <c r="AA28" s="3" t="s">
        <v>89</v>
      </c>
      <c r="AB28" s="13" t="n">
        <v>46319</v>
      </c>
    </row>
    <row r="29" customFormat="false" ht="46.25" hidden="false" customHeight="false" outlineLevel="0" collapsed="false">
      <c r="A29" s="3" t="s">
        <v>378</v>
      </c>
      <c r="B29" s="3" t="s">
        <v>379</v>
      </c>
      <c r="C29" s="3" t="s">
        <v>380</v>
      </c>
      <c r="D29" s="3" t="s">
        <v>381</v>
      </c>
      <c r="E29" s="3" t="s">
        <v>18</v>
      </c>
      <c r="F29" s="3" t="s">
        <v>382</v>
      </c>
      <c r="G29" s="3" t="s">
        <v>382</v>
      </c>
      <c r="H29" s="3" t="s">
        <v>382</v>
      </c>
      <c r="I29" s="3" t="s">
        <v>382</v>
      </c>
      <c r="J29" s="12" t="s">
        <v>18</v>
      </c>
      <c r="K29" s="3" t="s">
        <v>382</v>
      </c>
      <c r="L29" s="3" t="s">
        <v>382</v>
      </c>
      <c r="M29" s="13"/>
      <c r="N29" s="14" t="str">
        <f aca="false">IF(M29="","",M29-'Read Me'!$B$30)</f>
        <v/>
      </c>
      <c r="O29" s="3" t="s">
        <v>382</v>
      </c>
      <c r="P29" s="3" t="s">
        <v>382</v>
      </c>
      <c r="Q29" s="3" t="s">
        <v>382</v>
      </c>
      <c r="R29" s="3" t="s">
        <v>382</v>
      </c>
      <c r="S29" s="3" t="s">
        <v>382</v>
      </c>
      <c r="T29" s="3" t="s">
        <v>382</v>
      </c>
      <c r="U29" s="3" t="s">
        <v>382</v>
      </c>
      <c r="V29" s="3" t="s">
        <v>383</v>
      </c>
      <c r="W29" s="3"/>
      <c r="X29" s="3"/>
      <c r="Y29" s="3"/>
      <c r="Z29" s="3"/>
      <c r="AA29" s="3" t="s">
        <v>80</v>
      </c>
      <c r="AB29" s="13" t="n">
        <v>46319</v>
      </c>
    </row>
    <row r="30" customFormat="false" ht="35.05" hidden="false" customHeight="false" outlineLevel="0" collapsed="false">
      <c r="A30" s="3" t="s">
        <v>384</v>
      </c>
      <c r="B30" s="3" t="s">
        <v>385</v>
      </c>
      <c r="C30" s="3" t="s">
        <v>380</v>
      </c>
      <c r="D30" s="3" t="s">
        <v>381</v>
      </c>
      <c r="E30" s="3" t="s">
        <v>18</v>
      </c>
      <c r="F30" s="3" t="s">
        <v>382</v>
      </c>
      <c r="G30" s="3" t="s">
        <v>382</v>
      </c>
      <c r="H30" s="3" t="s">
        <v>382</v>
      </c>
      <c r="I30" s="3" t="s">
        <v>382</v>
      </c>
      <c r="J30" s="12" t="s">
        <v>18</v>
      </c>
      <c r="K30" s="3" t="s">
        <v>382</v>
      </c>
      <c r="L30" s="3" t="s">
        <v>382</v>
      </c>
      <c r="M30" s="13"/>
      <c r="N30" s="14" t="str">
        <f aca="false">IF(M30="","",M30-'Read Me'!$B$30)</f>
        <v/>
      </c>
      <c r="O30" s="3" t="s">
        <v>382</v>
      </c>
      <c r="P30" s="3" t="s">
        <v>382</v>
      </c>
      <c r="Q30" s="3" t="s">
        <v>382</v>
      </c>
      <c r="R30" s="3" t="s">
        <v>382</v>
      </c>
      <c r="S30" s="3" t="s">
        <v>382</v>
      </c>
      <c r="T30" s="3" t="s">
        <v>382</v>
      </c>
      <c r="U30" s="3" t="s">
        <v>382</v>
      </c>
      <c r="V30" s="3" t="s">
        <v>386</v>
      </c>
      <c r="W30" s="3"/>
      <c r="X30" s="3"/>
      <c r="Y30" s="3"/>
      <c r="Z30" s="3"/>
      <c r="AA30" s="3" t="s">
        <v>80</v>
      </c>
      <c r="AB30" s="13" t="n">
        <v>46319</v>
      </c>
    </row>
    <row r="31" customFormat="false" ht="68.65" hidden="false" customHeight="false" outlineLevel="0" collapsed="false">
      <c r="A31" s="3" t="s">
        <v>387</v>
      </c>
      <c r="B31" s="3" t="s">
        <v>388</v>
      </c>
      <c r="C31" s="3" t="s">
        <v>380</v>
      </c>
      <c r="D31" s="3" t="s">
        <v>389</v>
      </c>
      <c r="E31" s="3" t="s">
        <v>390</v>
      </c>
      <c r="F31" s="3" t="s">
        <v>391</v>
      </c>
      <c r="G31" s="3" t="s">
        <v>392</v>
      </c>
      <c r="H31" s="3" t="s">
        <v>393</v>
      </c>
      <c r="I31" s="3" t="s">
        <v>75</v>
      </c>
      <c r="J31" s="18" t="s">
        <v>12</v>
      </c>
      <c r="K31" s="3" t="s">
        <v>394</v>
      </c>
      <c r="L31" s="3" t="s">
        <v>395</v>
      </c>
      <c r="M31" s="13"/>
      <c r="N31" s="14" t="str">
        <f aca="false">IF(M31="","",M31-'Read Me'!$B$30)</f>
        <v/>
      </c>
      <c r="O31" s="3" t="s">
        <v>396</v>
      </c>
      <c r="P31" s="3" t="s">
        <v>75</v>
      </c>
      <c r="Q31" s="3" t="s">
        <v>397</v>
      </c>
      <c r="R31" s="3" t="s">
        <v>75</v>
      </c>
      <c r="S31" s="3" t="s">
        <v>398</v>
      </c>
      <c r="T31" s="3" t="s">
        <v>399</v>
      </c>
      <c r="U31" s="15" t="s">
        <v>400</v>
      </c>
      <c r="V31" s="3" t="s">
        <v>401</v>
      </c>
      <c r="W31" s="15" t="s">
        <v>400</v>
      </c>
      <c r="X31" s="15" t="s">
        <v>402</v>
      </c>
      <c r="Y31" s="15" t="s">
        <v>403</v>
      </c>
      <c r="Z31" s="3" t="s">
        <v>404</v>
      </c>
      <c r="AA31" s="3" t="s">
        <v>159</v>
      </c>
      <c r="AB31" s="13" t="n">
        <v>46319</v>
      </c>
    </row>
    <row r="32" customFormat="false" ht="57.45" hidden="false" customHeight="false" outlineLevel="0" collapsed="false">
      <c r="A32" s="3" t="s">
        <v>405</v>
      </c>
      <c r="B32" s="3" t="s">
        <v>388</v>
      </c>
      <c r="C32" s="3" t="s">
        <v>380</v>
      </c>
      <c r="D32" s="3" t="s">
        <v>389</v>
      </c>
      <c r="E32" s="3" t="s">
        <v>406</v>
      </c>
      <c r="F32" s="3" t="s">
        <v>407</v>
      </c>
      <c r="G32" s="3" t="s">
        <v>408</v>
      </c>
      <c r="H32" s="3" t="s">
        <v>75</v>
      </c>
      <c r="I32" s="3" t="s">
        <v>75</v>
      </c>
      <c r="J32" s="16" t="s">
        <v>14</v>
      </c>
      <c r="K32" s="3" t="s">
        <v>409</v>
      </c>
      <c r="L32" s="3" t="s">
        <v>410</v>
      </c>
      <c r="M32" s="13"/>
      <c r="N32" s="14" t="str">
        <f aca="false">IF(M32="","",M32-'Read Me'!$B$30)</f>
        <v/>
      </c>
      <c r="O32" s="3" t="s">
        <v>75</v>
      </c>
      <c r="P32" s="3" t="s">
        <v>75</v>
      </c>
      <c r="Q32" s="3" t="s">
        <v>75</v>
      </c>
      <c r="R32" s="3" t="s">
        <v>75</v>
      </c>
      <c r="S32" s="3" t="s">
        <v>75</v>
      </c>
      <c r="T32" s="3" t="s">
        <v>411</v>
      </c>
      <c r="U32" s="15" t="s">
        <v>412</v>
      </c>
      <c r="V32" s="3" t="s">
        <v>413</v>
      </c>
      <c r="W32" s="15" t="s">
        <v>412</v>
      </c>
      <c r="X32" s="15" t="s">
        <v>414</v>
      </c>
      <c r="Y32" s="3"/>
      <c r="Z32" s="3"/>
      <c r="AA32" s="3" t="s">
        <v>159</v>
      </c>
      <c r="AB32" s="13" t="n">
        <v>46319</v>
      </c>
    </row>
    <row r="33" customFormat="false" ht="68.65" hidden="false" customHeight="false" outlineLevel="0" collapsed="false">
      <c r="A33" s="3" t="s">
        <v>415</v>
      </c>
      <c r="B33" s="3" t="s">
        <v>388</v>
      </c>
      <c r="C33" s="3" t="s">
        <v>380</v>
      </c>
      <c r="D33" s="3" t="s">
        <v>389</v>
      </c>
      <c r="E33" s="3" t="s">
        <v>416</v>
      </c>
      <c r="F33" s="3" t="s">
        <v>417</v>
      </c>
      <c r="G33" s="3" t="s">
        <v>392</v>
      </c>
      <c r="H33" s="3" t="s">
        <v>418</v>
      </c>
      <c r="I33" s="3" t="s">
        <v>75</v>
      </c>
      <c r="J33" s="16" t="s">
        <v>14</v>
      </c>
      <c r="K33" s="3" t="s">
        <v>419</v>
      </c>
      <c r="L33" s="3" t="s">
        <v>420</v>
      </c>
      <c r="M33" s="13"/>
      <c r="N33" s="14" t="str">
        <f aca="false">IF(M33="","",M33-'Read Me'!$B$30)</f>
        <v/>
      </c>
      <c r="O33" s="3" t="s">
        <v>75</v>
      </c>
      <c r="P33" s="3" t="s">
        <v>75</v>
      </c>
      <c r="Q33" s="3" t="s">
        <v>75</v>
      </c>
      <c r="R33" s="3" t="s">
        <v>75</v>
      </c>
      <c r="S33" s="3" t="s">
        <v>75</v>
      </c>
      <c r="T33" s="3" t="s">
        <v>75</v>
      </c>
      <c r="U33" s="15" t="s">
        <v>421</v>
      </c>
      <c r="V33" s="3" t="s">
        <v>422</v>
      </c>
      <c r="W33" s="15" t="s">
        <v>423</v>
      </c>
      <c r="X33" s="15" t="s">
        <v>424</v>
      </c>
      <c r="Y33" s="15" t="s">
        <v>425</v>
      </c>
      <c r="Z33" s="3" t="s">
        <v>426</v>
      </c>
      <c r="AA33" s="3" t="s">
        <v>159</v>
      </c>
      <c r="AB33" s="13" t="n">
        <v>46319</v>
      </c>
    </row>
    <row r="34" customFormat="false" ht="57.45" hidden="false" customHeight="false" outlineLevel="0" collapsed="false">
      <c r="A34" s="3" t="s">
        <v>427</v>
      </c>
      <c r="B34" s="3" t="s">
        <v>388</v>
      </c>
      <c r="C34" s="3" t="s">
        <v>380</v>
      </c>
      <c r="D34" s="3" t="s">
        <v>389</v>
      </c>
      <c r="E34" s="3" t="s">
        <v>428</v>
      </c>
      <c r="F34" s="3" t="s">
        <v>429</v>
      </c>
      <c r="G34" s="3" t="s">
        <v>392</v>
      </c>
      <c r="H34" s="3" t="s">
        <v>430</v>
      </c>
      <c r="I34" s="3" t="s">
        <v>75</v>
      </c>
      <c r="J34" s="17" t="s">
        <v>16</v>
      </c>
      <c r="K34" s="3" t="s">
        <v>431</v>
      </c>
      <c r="L34" s="3" t="s">
        <v>432</v>
      </c>
      <c r="M34" s="13" t="n">
        <v>46239</v>
      </c>
      <c r="N34" s="14" t="n">
        <f aca="false">IF(M34="","",M34-'Read Me'!$B$30)</f>
        <v>-80</v>
      </c>
      <c r="O34" s="3" t="s">
        <v>433</v>
      </c>
      <c r="P34" s="3" t="s">
        <v>75</v>
      </c>
      <c r="Q34" s="3" t="s">
        <v>75</v>
      </c>
      <c r="R34" s="3" t="s">
        <v>75</v>
      </c>
      <c r="S34" s="3" t="s">
        <v>75</v>
      </c>
      <c r="T34" s="3" t="s">
        <v>75</v>
      </c>
      <c r="U34" s="3" t="s">
        <v>75</v>
      </c>
      <c r="V34" s="3" t="s">
        <v>434</v>
      </c>
      <c r="W34" s="15" t="s">
        <v>435</v>
      </c>
      <c r="X34" s="3"/>
      <c r="Y34" s="3"/>
      <c r="Z34" s="3"/>
      <c r="AA34" s="3" t="s">
        <v>159</v>
      </c>
      <c r="AB34" s="13" t="n">
        <v>46319</v>
      </c>
    </row>
    <row r="35" customFormat="false" ht="180.55" hidden="false" customHeight="false" outlineLevel="0" collapsed="false">
      <c r="A35" s="3" t="s">
        <v>436</v>
      </c>
      <c r="B35" s="3" t="s">
        <v>437</v>
      </c>
      <c r="C35" s="3" t="s">
        <v>70</v>
      </c>
      <c r="D35" s="3" t="s">
        <v>71</v>
      </c>
      <c r="E35" s="3" t="s">
        <v>438</v>
      </c>
      <c r="F35" s="3" t="s">
        <v>439</v>
      </c>
      <c r="G35" s="3" t="s">
        <v>440</v>
      </c>
      <c r="H35" s="3" t="s">
        <v>441</v>
      </c>
      <c r="I35" s="3" t="s">
        <v>442</v>
      </c>
      <c r="J35" s="18" t="s">
        <v>12</v>
      </c>
      <c r="K35" s="3" t="s">
        <v>443</v>
      </c>
      <c r="L35" s="3" t="s">
        <v>444</v>
      </c>
      <c r="M35" s="13" t="n">
        <v>46784</v>
      </c>
      <c r="N35" s="14" t="n">
        <f aca="false">IF(M35="","",M35-'Read Me'!$B$30)</f>
        <v>465</v>
      </c>
      <c r="O35" s="3" t="s">
        <v>445</v>
      </c>
      <c r="P35" s="3" t="s">
        <v>446</v>
      </c>
      <c r="Q35" s="15" t="s">
        <v>447</v>
      </c>
      <c r="R35" s="3" t="s">
        <v>75</v>
      </c>
      <c r="S35" s="3" t="s">
        <v>448</v>
      </c>
      <c r="T35" s="3" t="s">
        <v>75</v>
      </c>
      <c r="U35" s="15" t="s">
        <v>449</v>
      </c>
      <c r="V35" s="3" t="s">
        <v>450</v>
      </c>
      <c r="W35" s="15" t="s">
        <v>451</v>
      </c>
      <c r="X35" s="15" t="s">
        <v>452</v>
      </c>
      <c r="Y35" s="15" t="s">
        <v>453</v>
      </c>
      <c r="Z35" s="3" t="s">
        <v>454</v>
      </c>
      <c r="AA35" s="3" t="s">
        <v>80</v>
      </c>
      <c r="AB35" s="13" t="n">
        <v>46319</v>
      </c>
    </row>
    <row r="36" customFormat="false" ht="57.45" hidden="false" customHeight="false" outlineLevel="0" collapsed="false">
      <c r="A36" s="3" t="s">
        <v>455</v>
      </c>
      <c r="B36" s="3" t="s">
        <v>437</v>
      </c>
      <c r="C36" s="3" t="s">
        <v>70</v>
      </c>
      <c r="D36" s="3" t="s">
        <v>71</v>
      </c>
      <c r="E36" s="3" t="s">
        <v>456</v>
      </c>
      <c r="F36" s="3" t="s">
        <v>457</v>
      </c>
      <c r="G36" s="3" t="s">
        <v>440</v>
      </c>
      <c r="H36" s="3" t="s">
        <v>458</v>
      </c>
      <c r="I36" s="3" t="s">
        <v>75</v>
      </c>
      <c r="J36" s="18" t="s">
        <v>12</v>
      </c>
      <c r="K36" s="3" t="s">
        <v>459</v>
      </c>
      <c r="L36" s="3" t="s">
        <v>460</v>
      </c>
      <c r="M36" s="13" t="n">
        <v>46784</v>
      </c>
      <c r="N36" s="14" t="n">
        <f aca="false">IF(M36="","",M36-'Read Me'!$B$30)</f>
        <v>465</v>
      </c>
      <c r="O36" s="3" t="s">
        <v>461</v>
      </c>
      <c r="P36" s="3" t="s">
        <v>75</v>
      </c>
      <c r="Q36" s="3" t="s">
        <v>75</v>
      </c>
      <c r="R36" s="3" t="s">
        <v>75</v>
      </c>
      <c r="S36" s="3" t="s">
        <v>75</v>
      </c>
      <c r="T36" s="3" t="s">
        <v>75</v>
      </c>
      <c r="U36" s="3" t="s">
        <v>75</v>
      </c>
      <c r="V36" s="3" t="s">
        <v>462</v>
      </c>
      <c r="W36" s="15" t="s">
        <v>463</v>
      </c>
      <c r="X36" s="15" t="s">
        <v>464</v>
      </c>
      <c r="Y36" s="3"/>
      <c r="Z36" s="3"/>
      <c r="AA36" s="3" t="s">
        <v>89</v>
      </c>
      <c r="AB36" s="13" t="n">
        <v>46319</v>
      </c>
    </row>
    <row r="37" customFormat="false" ht="91" hidden="false" customHeight="false" outlineLevel="0" collapsed="false">
      <c r="A37" s="3" t="s">
        <v>465</v>
      </c>
      <c r="B37" s="3" t="s">
        <v>437</v>
      </c>
      <c r="C37" s="3" t="s">
        <v>70</v>
      </c>
      <c r="D37" s="3" t="s">
        <v>466</v>
      </c>
      <c r="E37" s="3" t="s">
        <v>467</v>
      </c>
      <c r="F37" s="3" t="s">
        <v>468</v>
      </c>
      <c r="G37" s="3" t="s">
        <v>469</v>
      </c>
      <c r="H37" s="3" t="s">
        <v>470</v>
      </c>
      <c r="I37" s="3" t="s">
        <v>471</v>
      </c>
      <c r="J37" s="18" t="s">
        <v>12</v>
      </c>
      <c r="K37" s="3" t="s">
        <v>472</v>
      </c>
      <c r="L37" s="3" t="s">
        <v>75</v>
      </c>
      <c r="M37" s="13"/>
      <c r="N37" s="14" t="str">
        <f aca="false">IF(M37="","",M37-'Read Me'!$B$30)</f>
        <v/>
      </c>
      <c r="O37" s="3" t="s">
        <v>473</v>
      </c>
      <c r="P37" s="3" t="s">
        <v>75</v>
      </c>
      <c r="Q37" s="3" t="s">
        <v>75</v>
      </c>
      <c r="R37" s="3" t="s">
        <v>75</v>
      </c>
      <c r="S37" s="3" t="s">
        <v>474</v>
      </c>
      <c r="T37" s="3" t="s">
        <v>75</v>
      </c>
      <c r="U37" s="3" t="s">
        <v>75</v>
      </c>
      <c r="V37" s="3" t="s">
        <v>475</v>
      </c>
      <c r="W37" s="15" t="s">
        <v>476</v>
      </c>
      <c r="X37" s="15" t="s">
        <v>477</v>
      </c>
      <c r="Y37" s="15" t="s">
        <v>478</v>
      </c>
      <c r="Z37" s="3"/>
      <c r="AA37" s="3" t="s">
        <v>80</v>
      </c>
      <c r="AB37" s="13" t="n">
        <v>46319</v>
      </c>
    </row>
    <row r="38" customFormat="false" ht="124.6" hidden="false" customHeight="false" outlineLevel="0" collapsed="false">
      <c r="A38" s="3" t="s">
        <v>479</v>
      </c>
      <c r="B38" s="3" t="s">
        <v>437</v>
      </c>
      <c r="C38" s="3" t="s">
        <v>70</v>
      </c>
      <c r="D38" s="3" t="s">
        <v>480</v>
      </c>
      <c r="E38" s="3" t="s">
        <v>481</v>
      </c>
      <c r="F38" s="3" t="s">
        <v>482</v>
      </c>
      <c r="G38" s="3" t="s">
        <v>483</v>
      </c>
      <c r="H38" s="3" t="s">
        <v>484</v>
      </c>
      <c r="I38" s="3" t="s">
        <v>75</v>
      </c>
      <c r="J38" s="18" t="s">
        <v>12</v>
      </c>
      <c r="K38" s="3" t="s">
        <v>485</v>
      </c>
      <c r="L38" s="3" t="s">
        <v>75</v>
      </c>
      <c r="M38" s="13"/>
      <c r="N38" s="14" t="str">
        <f aca="false">IF(M38="","",M38-'Read Me'!$B$30)</f>
        <v/>
      </c>
      <c r="O38" s="3" t="s">
        <v>486</v>
      </c>
      <c r="P38" s="3" t="s">
        <v>75</v>
      </c>
      <c r="Q38" s="3" t="s">
        <v>75</v>
      </c>
      <c r="R38" s="3" t="s">
        <v>75</v>
      </c>
      <c r="S38" s="3" t="s">
        <v>487</v>
      </c>
      <c r="T38" s="3" t="s">
        <v>75</v>
      </c>
      <c r="U38" s="15" t="s">
        <v>488</v>
      </c>
      <c r="V38" s="3" t="s">
        <v>489</v>
      </c>
      <c r="W38" s="15" t="s">
        <v>490</v>
      </c>
      <c r="X38" s="15" t="s">
        <v>491</v>
      </c>
      <c r="Y38" s="3"/>
      <c r="Z38" s="3"/>
      <c r="AA38" s="3" t="s">
        <v>89</v>
      </c>
      <c r="AB38" s="13" t="n">
        <v>46319</v>
      </c>
    </row>
    <row r="39" customFormat="false" ht="79.85" hidden="false" customHeight="false" outlineLevel="0" collapsed="false">
      <c r="A39" s="3" t="s">
        <v>492</v>
      </c>
      <c r="B39" s="3" t="s">
        <v>437</v>
      </c>
      <c r="C39" s="3" t="s">
        <v>70</v>
      </c>
      <c r="D39" s="3" t="s">
        <v>71</v>
      </c>
      <c r="E39" s="3" t="s">
        <v>493</v>
      </c>
      <c r="F39" s="3" t="s">
        <v>494</v>
      </c>
      <c r="G39" s="3" t="s">
        <v>440</v>
      </c>
      <c r="H39" s="3" t="s">
        <v>495</v>
      </c>
      <c r="I39" s="3" t="s">
        <v>75</v>
      </c>
      <c r="J39" s="16" t="s">
        <v>14</v>
      </c>
      <c r="K39" s="3" t="s">
        <v>496</v>
      </c>
      <c r="L39" s="3" t="s">
        <v>460</v>
      </c>
      <c r="M39" s="13" t="n">
        <v>46784</v>
      </c>
      <c r="N39" s="14" t="n">
        <f aca="false">IF(M39="","",M39-'Read Me'!$B$30)</f>
        <v>465</v>
      </c>
      <c r="O39" s="3" t="s">
        <v>75</v>
      </c>
      <c r="P39" s="3" t="s">
        <v>75</v>
      </c>
      <c r="Q39" s="3" t="s">
        <v>75</v>
      </c>
      <c r="R39" s="3" t="s">
        <v>75</v>
      </c>
      <c r="S39" s="3" t="s">
        <v>497</v>
      </c>
      <c r="T39" s="3" t="s">
        <v>75</v>
      </c>
      <c r="U39" s="3" t="s">
        <v>75</v>
      </c>
      <c r="V39" s="3" t="s">
        <v>498</v>
      </c>
      <c r="W39" s="15" t="s">
        <v>499</v>
      </c>
      <c r="X39" s="3"/>
      <c r="Y39" s="3"/>
      <c r="Z39" s="3"/>
      <c r="AA39" s="3" t="s">
        <v>80</v>
      </c>
      <c r="AB39" s="13" t="n">
        <v>46319</v>
      </c>
    </row>
    <row r="40" customFormat="false" ht="46.25" hidden="false" customHeight="false" outlineLevel="0" collapsed="false">
      <c r="A40" s="3" t="s">
        <v>500</v>
      </c>
      <c r="B40" s="3" t="s">
        <v>437</v>
      </c>
      <c r="C40" s="3" t="s">
        <v>70</v>
      </c>
      <c r="D40" s="3" t="s">
        <v>71</v>
      </c>
      <c r="E40" s="3" t="s">
        <v>501</v>
      </c>
      <c r="F40" s="3" t="s">
        <v>494</v>
      </c>
      <c r="G40" s="3" t="s">
        <v>440</v>
      </c>
      <c r="H40" s="3" t="s">
        <v>502</v>
      </c>
      <c r="I40" s="3" t="s">
        <v>75</v>
      </c>
      <c r="J40" s="16" t="s">
        <v>14</v>
      </c>
      <c r="K40" s="3" t="s">
        <v>459</v>
      </c>
      <c r="L40" s="3" t="s">
        <v>460</v>
      </c>
      <c r="M40" s="13" t="n">
        <v>46784</v>
      </c>
      <c r="N40" s="14" t="n">
        <f aca="false">IF(M40="","",M40-'Read Me'!$B$30)</f>
        <v>465</v>
      </c>
      <c r="O40" s="3" t="s">
        <v>75</v>
      </c>
      <c r="P40" s="3" t="s">
        <v>75</v>
      </c>
      <c r="Q40" s="3" t="s">
        <v>75</v>
      </c>
      <c r="R40" s="3" t="s">
        <v>75</v>
      </c>
      <c r="S40" s="3" t="s">
        <v>497</v>
      </c>
      <c r="T40" s="3" t="s">
        <v>75</v>
      </c>
      <c r="U40" s="3" t="s">
        <v>75</v>
      </c>
      <c r="V40" s="3" t="s">
        <v>503</v>
      </c>
      <c r="W40" s="15" t="s">
        <v>499</v>
      </c>
      <c r="X40" s="3"/>
      <c r="Y40" s="3"/>
      <c r="Z40" s="3"/>
      <c r="AA40" s="3" t="s">
        <v>80</v>
      </c>
      <c r="AB40" s="13" t="n">
        <v>46319</v>
      </c>
    </row>
    <row r="41" customFormat="false" ht="191.75" hidden="false" customHeight="false" outlineLevel="0" collapsed="false">
      <c r="A41" s="3" t="s">
        <v>504</v>
      </c>
      <c r="B41" s="3" t="s">
        <v>437</v>
      </c>
      <c r="C41" s="3" t="s">
        <v>70</v>
      </c>
      <c r="D41" s="3" t="s">
        <v>71</v>
      </c>
      <c r="E41" s="3" t="s">
        <v>505</v>
      </c>
      <c r="F41" s="3" t="s">
        <v>506</v>
      </c>
      <c r="G41" s="3" t="s">
        <v>440</v>
      </c>
      <c r="H41" s="3" t="s">
        <v>507</v>
      </c>
      <c r="I41" s="3" t="s">
        <v>508</v>
      </c>
      <c r="J41" s="17" t="s">
        <v>16</v>
      </c>
      <c r="K41" s="3" t="s">
        <v>509</v>
      </c>
      <c r="L41" s="3" t="s">
        <v>510</v>
      </c>
      <c r="M41" s="13" t="n">
        <v>46054</v>
      </c>
      <c r="N41" s="14" t="n">
        <f aca="false">IF(M41="","",M41-'Read Me'!$B$30)</f>
        <v>-265</v>
      </c>
      <c r="O41" s="3" t="s">
        <v>511</v>
      </c>
      <c r="P41" s="3" t="s">
        <v>75</v>
      </c>
      <c r="Q41" s="3" t="s">
        <v>75</v>
      </c>
      <c r="R41" s="3" t="s">
        <v>512</v>
      </c>
      <c r="S41" s="3" t="s">
        <v>75</v>
      </c>
      <c r="T41" s="3" t="s">
        <v>75</v>
      </c>
      <c r="U41" s="3" t="s">
        <v>75</v>
      </c>
      <c r="V41" s="3" t="s">
        <v>513</v>
      </c>
      <c r="W41" s="15" t="s">
        <v>499</v>
      </c>
      <c r="X41" s="15" t="s">
        <v>514</v>
      </c>
      <c r="Y41" s="15" t="s">
        <v>515</v>
      </c>
      <c r="Z41" s="3" t="s">
        <v>516</v>
      </c>
      <c r="AA41" s="3" t="s">
        <v>80</v>
      </c>
      <c r="AB41" s="13" t="n">
        <v>46319</v>
      </c>
    </row>
    <row r="42" customFormat="false" ht="57.45" hidden="false" customHeight="false" outlineLevel="0" collapsed="false">
      <c r="A42" s="3" t="s">
        <v>517</v>
      </c>
      <c r="B42" s="3" t="s">
        <v>437</v>
      </c>
      <c r="C42" s="3" t="s">
        <v>70</v>
      </c>
      <c r="D42" s="3" t="s">
        <v>71</v>
      </c>
      <c r="E42" s="3" t="s">
        <v>518</v>
      </c>
      <c r="F42" s="3" t="s">
        <v>519</v>
      </c>
      <c r="G42" s="3" t="s">
        <v>440</v>
      </c>
      <c r="H42" s="3" t="s">
        <v>75</v>
      </c>
      <c r="I42" s="3" t="s">
        <v>75</v>
      </c>
      <c r="J42" s="17" t="s">
        <v>16</v>
      </c>
      <c r="K42" s="3" t="s">
        <v>520</v>
      </c>
      <c r="L42" s="3" t="s">
        <v>510</v>
      </c>
      <c r="M42" s="13" t="n">
        <v>46054</v>
      </c>
      <c r="N42" s="14" t="n">
        <f aca="false">IF(M42="","",M42-'Read Me'!$B$30)</f>
        <v>-265</v>
      </c>
      <c r="O42" s="3" t="s">
        <v>521</v>
      </c>
      <c r="P42" s="3" t="s">
        <v>75</v>
      </c>
      <c r="Q42" s="3" t="s">
        <v>75</v>
      </c>
      <c r="R42" s="3" t="s">
        <v>75</v>
      </c>
      <c r="S42" s="3" t="s">
        <v>75</v>
      </c>
      <c r="T42" s="3" t="s">
        <v>75</v>
      </c>
      <c r="U42" s="3" t="s">
        <v>75</v>
      </c>
      <c r="V42" s="3" t="s">
        <v>522</v>
      </c>
      <c r="W42" s="15" t="s">
        <v>523</v>
      </c>
      <c r="X42" s="15" t="s">
        <v>524</v>
      </c>
      <c r="Y42" s="3"/>
      <c r="Z42" s="3"/>
      <c r="AA42" s="3" t="s">
        <v>89</v>
      </c>
      <c r="AB42" s="13" t="n">
        <v>46319</v>
      </c>
    </row>
    <row r="43" customFormat="false" ht="46.25" hidden="false" customHeight="false" outlineLevel="0" collapsed="false">
      <c r="A43" s="3" t="s">
        <v>525</v>
      </c>
      <c r="B43" s="3" t="s">
        <v>437</v>
      </c>
      <c r="C43" s="3" t="s">
        <v>70</v>
      </c>
      <c r="D43" s="3" t="s">
        <v>526</v>
      </c>
      <c r="E43" s="3" t="s">
        <v>527</v>
      </c>
      <c r="F43" s="3" t="s">
        <v>528</v>
      </c>
      <c r="G43" s="3" t="s">
        <v>74</v>
      </c>
      <c r="H43" s="3" t="s">
        <v>529</v>
      </c>
      <c r="I43" s="3" t="s">
        <v>75</v>
      </c>
      <c r="J43" s="17" t="s">
        <v>16</v>
      </c>
      <c r="K43" s="3" t="s">
        <v>530</v>
      </c>
      <c r="L43" s="3" t="s">
        <v>531</v>
      </c>
      <c r="M43" s="13" t="n">
        <v>46153</v>
      </c>
      <c r="N43" s="14" t="n">
        <f aca="false">IF(M43="","",M43-'Read Me'!$B$30)</f>
        <v>-166</v>
      </c>
      <c r="O43" s="3" t="s">
        <v>532</v>
      </c>
      <c r="P43" s="3" t="s">
        <v>75</v>
      </c>
      <c r="Q43" s="3" t="s">
        <v>75</v>
      </c>
      <c r="R43" s="3" t="s">
        <v>75</v>
      </c>
      <c r="S43" s="3" t="s">
        <v>75</v>
      </c>
      <c r="T43" s="3" t="s">
        <v>75</v>
      </c>
      <c r="U43" s="3" t="s">
        <v>75</v>
      </c>
      <c r="V43" s="3" t="s">
        <v>533</v>
      </c>
      <c r="W43" s="15" t="s">
        <v>79</v>
      </c>
      <c r="X43" s="3"/>
      <c r="Y43" s="3"/>
      <c r="Z43" s="3"/>
      <c r="AA43" s="3" t="s">
        <v>89</v>
      </c>
      <c r="AB43" s="13" t="n">
        <v>46319</v>
      </c>
    </row>
    <row r="44" customFormat="false" ht="35.05" hidden="false" customHeight="false" outlineLevel="0" collapsed="false">
      <c r="A44" s="3" t="s">
        <v>534</v>
      </c>
      <c r="B44" s="3" t="s">
        <v>437</v>
      </c>
      <c r="C44" s="3" t="s">
        <v>148</v>
      </c>
      <c r="D44" s="3" t="s">
        <v>535</v>
      </c>
      <c r="E44" s="3" t="s">
        <v>536</v>
      </c>
      <c r="F44" s="3" t="s">
        <v>537</v>
      </c>
      <c r="G44" s="3" t="s">
        <v>152</v>
      </c>
      <c r="H44" s="3" t="s">
        <v>538</v>
      </c>
      <c r="I44" s="3" t="s">
        <v>75</v>
      </c>
      <c r="J44" s="17" t="s">
        <v>16</v>
      </c>
      <c r="K44" s="3" t="s">
        <v>75</v>
      </c>
      <c r="L44" s="3" t="s">
        <v>75</v>
      </c>
      <c r="M44" s="13"/>
      <c r="N44" s="14" t="str">
        <f aca="false">IF(M44="","",M44-'Read Me'!$B$30)</f>
        <v/>
      </c>
      <c r="O44" s="3" t="s">
        <v>539</v>
      </c>
      <c r="P44" s="3" t="s">
        <v>75</v>
      </c>
      <c r="Q44" s="3" t="s">
        <v>75</v>
      </c>
      <c r="R44" s="3" t="s">
        <v>75</v>
      </c>
      <c r="S44" s="3" t="s">
        <v>75</v>
      </c>
      <c r="T44" s="3" t="s">
        <v>75</v>
      </c>
      <c r="U44" s="3" t="s">
        <v>75</v>
      </c>
      <c r="V44" s="3" t="s">
        <v>540</v>
      </c>
      <c r="W44" s="15" t="s">
        <v>541</v>
      </c>
      <c r="X44" s="3"/>
      <c r="Y44" s="3"/>
      <c r="Z44" s="3"/>
      <c r="AA44" s="3" t="s">
        <v>159</v>
      </c>
      <c r="AB44" s="13" t="n">
        <v>46319</v>
      </c>
    </row>
    <row r="45" customFormat="false" ht="35.05" hidden="false" customHeight="false" outlineLevel="0" collapsed="false">
      <c r="A45" s="3" t="s">
        <v>542</v>
      </c>
      <c r="B45" s="3" t="s">
        <v>543</v>
      </c>
      <c r="C45" s="3" t="s">
        <v>148</v>
      </c>
      <c r="D45" s="3" t="s">
        <v>544</v>
      </c>
      <c r="E45" s="3" t="s">
        <v>545</v>
      </c>
      <c r="F45" s="3" t="s">
        <v>546</v>
      </c>
      <c r="G45" s="3" t="s">
        <v>547</v>
      </c>
      <c r="H45" s="3" t="s">
        <v>548</v>
      </c>
      <c r="I45" s="3" t="s">
        <v>75</v>
      </c>
      <c r="J45" s="17" t="s">
        <v>16</v>
      </c>
      <c r="K45" s="3" t="s">
        <v>549</v>
      </c>
      <c r="L45" s="3" t="s">
        <v>550</v>
      </c>
      <c r="M45" s="13" t="n">
        <v>46268</v>
      </c>
      <c r="N45" s="14" t="n">
        <f aca="false">IF(M45="","",M45-'Read Me'!$B$30)</f>
        <v>-51</v>
      </c>
      <c r="O45" s="3" t="s">
        <v>551</v>
      </c>
      <c r="P45" s="3" t="s">
        <v>75</v>
      </c>
      <c r="Q45" s="3" t="s">
        <v>75</v>
      </c>
      <c r="R45" s="3" t="s">
        <v>75</v>
      </c>
      <c r="S45" s="3" t="s">
        <v>75</v>
      </c>
      <c r="T45" s="3" t="s">
        <v>75</v>
      </c>
      <c r="U45" s="3" t="s">
        <v>75</v>
      </c>
      <c r="V45" s="3" t="s">
        <v>552</v>
      </c>
      <c r="W45" s="15" t="s">
        <v>553</v>
      </c>
      <c r="X45" s="3"/>
      <c r="Y45" s="3"/>
      <c r="Z45" s="3"/>
      <c r="AA45" s="3" t="s">
        <v>159</v>
      </c>
      <c r="AB45" s="13" t="n">
        <v>46319</v>
      </c>
    </row>
    <row r="46" customFormat="false" ht="79.85" hidden="false" customHeight="false" outlineLevel="0" collapsed="false">
      <c r="A46" s="3" t="s">
        <v>554</v>
      </c>
      <c r="B46" s="3" t="s">
        <v>555</v>
      </c>
      <c r="C46" s="3" t="s">
        <v>83</v>
      </c>
      <c r="D46" s="3" t="s">
        <v>556</v>
      </c>
      <c r="E46" s="3" t="s">
        <v>557</v>
      </c>
      <c r="F46" s="3" t="s">
        <v>558</v>
      </c>
      <c r="G46" s="3" t="s">
        <v>559</v>
      </c>
      <c r="H46" s="3" t="s">
        <v>75</v>
      </c>
      <c r="I46" s="3" t="s">
        <v>75</v>
      </c>
      <c r="J46" s="12" t="s">
        <v>18</v>
      </c>
      <c r="K46" s="3" t="s">
        <v>75</v>
      </c>
      <c r="L46" s="3" t="s">
        <v>75</v>
      </c>
      <c r="M46" s="13"/>
      <c r="N46" s="14" t="str">
        <f aca="false">IF(M46="","",M46-'Read Me'!$B$30)</f>
        <v/>
      </c>
      <c r="O46" s="3" t="s">
        <v>75</v>
      </c>
      <c r="P46" s="3" t="s">
        <v>75</v>
      </c>
      <c r="Q46" s="3" t="s">
        <v>75</v>
      </c>
      <c r="R46" s="3" t="s">
        <v>75</v>
      </c>
      <c r="S46" s="3" t="s">
        <v>75</v>
      </c>
      <c r="T46" s="3" t="s">
        <v>75</v>
      </c>
      <c r="U46" s="3" t="s">
        <v>75</v>
      </c>
      <c r="V46" s="3" t="s">
        <v>560</v>
      </c>
      <c r="W46" s="15" t="s">
        <v>561</v>
      </c>
      <c r="X46" s="15" t="s">
        <v>562</v>
      </c>
      <c r="Y46" s="3"/>
      <c r="Z46" s="3"/>
      <c r="AA46" s="3" t="s">
        <v>80</v>
      </c>
      <c r="AB46" s="13" t="n">
        <v>46319</v>
      </c>
    </row>
    <row r="47" customFormat="false" ht="57.45" hidden="false" customHeight="false" outlineLevel="0" collapsed="false">
      <c r="A47" s="3" t="s">
        <v>563</v>
      </c>
      <c r="B47" s="3" t="s">
        <v>564</v>
      </c>
      <c r="C47" s="3" t="s">
        <v>111</v>
      </c>
      <c r="D47" s="3" t="s">
        <v>71</v>
      </c>
      <c r="E47" s="3" t="s">
        <v>565</v>
      </c>
      <c r="F47" s="3" t="s">
        <v>566</v>
      </c>
      <c r="G47" s="3" t="s">
        <v>140</v>
      </c>
      <c r="H47" s="3" t="s">
        <v>567</v>
      </c>
      <c r="I47" s="3" t="s">
        <v>75</v>
      </c>
      <c r="J47" s="17" t="s">
        <v>16</v>
      </c>
      <c r="K47" s="3" t="s">
        <v>568</v>
      </c>
      <c r="L47" s="3" t="s">
        <v>569</v>
      </c>
      <c r="M47" s="13" t="n">
        <v>46142</v>
      </c>
      <c r="N47" s="14" t="n">
        <f aca="false">IF(M47="","",M47-'Read Me'!$B$30)</f>
        <v>-177</v>
      </c>
      <c r="O47" s="3" t="s">
        <v>570</v>
      </c>
      <c r="P47" s="3" t="s">
        <v>75</v>
      </c>
      <c r="Q47" s="3" t="s">
        <v>75</v>
      </c>
      <c r="R47" s="3" t="s">
        <v>75</v>
      </c>
      <c r="S47" s="3" t="s">
        <v>571</v>
      </c>
      <c r="T47" s="3" t="s">
        <v>75</v>
      </c>
      <c r="U47" s="3" t="s">
        <v>75</v>
      </c>
      <c r="V47" s="3" t="s">
        <v>572</v>
      </c>
      <c r="W47" s="15" t="s">
        <v>573</v>
      </c>
      <c r="X47" s="15" t="s">
        <v>574</v>
      </c>
      <c r="Y47" s="15" t="s">
        <v>575</v>
      </c>
      <c r="Z47" s="3"/>
      <c r="AA47" s="3" t="s">
        <v>89</v>
      </c>
      <c r="AB47" s="13" t="n">
        <v>46319</v>
      </c>
    </row>
    <row r="48" customFormat="false" ht="46.25" hidden="false" customHeight="false" outlineLevel="0" collapsed="false">
      <c r="A48" s="3" t="s">
        <v>576</v>
      </c>
      <c r="B48" s="3" t="s">
        <v>564</v>
      </c>
      <c r="C48" s="3" t="s">
        <v>111</v>
      </c>
      <c r="D48" s="3" t="s">
        <v>71</v>
      </c>
      <c r="E48" s="3" t="s">
        <v>577</v>
      </c>
      <c r="F48" s="3" t="s">
        <v>578</v>
      </c>
      <c r="G48" s="3" t="s">
        <v>140</v>
      </c>
      <c r="H48" s="3" t="s">
        <v>579</v>
      </c>
      <c r="I48" s="3" t="s">
        <v>580</v>
      </c>
      <c r="J48" s="17" t="s">
        <v>16</v>
      </c>
      <c r="K48" s="3" t="s">
        <v>581</v>
      </c>
      <c r="L48" s="3" t="s">
        <v>582</v>
      </c>
      <c r="M48" s="13" t="n">
        <v>46142</v>
      </c>
      <c r="N48" s="14" t="n">
        <f aca="false">IF(M48="","",M48-'Read Me'!$B$30)</f>
        <v>-177</v>
      </c>
      <c r="O48" s="3" t="s">
        <v>583</v>
      </c>
      <c r="P48" s="3" t="s">
        <v>75</v>
      </c>
      <c r="Q48" s="3" t="s">
        <v>75</v>
      </c>
      <c r="R48" s="3" t="s">
        <v>75</v>
      </c>
      <c r="S48" s="3" t="s">
        <v>75</v>
      </c>
      <c r="T48" s="3" t="s">
        <v>75</v>
      </c>
      <c r="U48" s="3" t="s">
        <v>75</v>
      </c>
      <c r="V48" s="3" t="s">
        <v>584</v>
      </c>
      <c r="W48" s="15" t="s">
        <v>585</v>
      </c>
      <c r="X48" s="15" t="s">
        <v>586</v>
      </c>
      <c r="Y48" s="3"/>
      <c r="Z48" s="3"/>
      <c r="AA48" s="3" t="s">
        <v>89</v>
      </c>
      <c r="AB48" s="13" t="n">
        <v>46319</v>
      </c>
    </row>
    <row r="49" customFormat="false" ht="68.65" hidden="false" customHeight="false" outlineLevel="0" collapsed="false">
      <c r="A49" s="3" t="s">
        <v>587</v>
      </c>
      <c r="B49" s="3" t="s">
        <v>588</v>
      </c>
      <c r="C49" s="3" t="s">
        <v>589</v>
      </c>
      <c r="D49" s="3" t="s">
        <v>590</v>
      </c>
      <c r="E49" s="3" t="s">
        <v>591</v>
      </c>
      <c r="F49" s="3" t="s">
        <v>592</v>
      </c>
      <c r="G49" s="3" t="s">
        <v>593</v>
      </c>
      <c r="H49" s="3" t="s">
        <v>594</v>
      </c>
      <c r="I49" s="3" t="s">
        <v>75</v>
      </c>
      <c r="J49" s="18" t="s">
        <v>12</v>
      </c>
      <c r="K49" s="3" t="s">
        <v>595</v>
      </c>
      <c r="L49" s="3" t="s">
        <v>596</v>
      </c>
      <c r="M49" s="13" t="n">
        <v>46314</v>
      </c>
      <c r="N49" s="14" t="n">
        <f aca="false">IF(M49="","",M49-'Read Me'!$B$30)</f>
        <v>-5</v>
      </c>
      <c r="O49" s="3" t="s">
        <v>597</v>
      </c>
      <c r="P49" s="3" t="s">
        <v>75</v>
      </c>
      <c r="Q49" s="3" t="s">
        <v>75</v>
      </c>
      <c r="R49" s="3" t="s">
        <v>75</v>
      </c>
      <c r="S49" s="3" t="s">
        <v>598</v>
      </c>
      <c r="T49" s="3" t="s">
        <v>599</v>
      </c>
      <c r="U49" s="15" t="s">
        <v>600</v>
      </c>
      <c r="V49" s="3" t="s">
        <v>601</v>
      </c>
      <c r="W49" s="15" t="s">
        <v>602</v>
      </c>
      <c r="X49" s="15" t="s">
        <v>603</v>
      </c>
      <c r="Y49" s="15" t="s">
        <v>604</v>
      </c>
      <c r="Z49" s="3"/>
      <c r="AA49" s="3" t="s">
        <v>89</v>
      </c>
      <c r="AB49" s="13" t="n">
        <v>46319</v>
      </c>
    </row>
    <row r="50" customFormat="false" ht="113.4" hidden="false" customHeight="false" outlineLevel="0" collapsed="false">
      <c r="A50" s="3" t="s">
        <v>605</v>
      </c>
      <c r="B50" s="3" t="s">
        <v>588</v>
      </c>
      <c r="C50" s="3" t="s">
        <v>589</v>
      </c>
      <c r="D50" s="3" t="s">
        <v>606</v>
      </c>
      <c r="E50" s="3" t="s">
        <v>607</v>
      </c>
      <c r="F50" s="3" t="s">
        <v>608</v>
      </c>
      <c r="G50" s="3" t="s">
        <v>609</v>
      </c>
      <c r="H50" s="3" t="s">
        <v>610</v>
      </c>
      <c r="I50" s="3" t="s">
        <v>75</v>
      </c>
      <c r="J50" s="18" t="s">
        <v>12</v>
      </c>
      <c r="K50" s="3" t="s">
        <v>611</v>
      </c>
      <c r="L50" s="3" t="s">
        <v>612</v>
      </c>
      <c r="M50" s="13" t="n">
        <v>46342</v>
      </c>
      <c r="N50" s="14" t="n">
        <f aca="false">IF(M50="","",M50-'Read Me'!$B$30)</f>
        <v>23</v>
      </c>
      <c r="O50" s="3" t="s">
        <v>75</v>
      </c>
      <c r="P50" s="3" t="s">
        <v>75</v>
      </c>
      <c r="Q50" s="3" t="s">
        <v>75</v>
      </c>
      <c r="R50" s="3" t="s">
        <v>75</v>
      </c>
      <c r="S50" s="3" t="s">
        <v>75</v>
      </c>
      <c r="T50" s="3" t="s">
        <v>613</v>
      </c>
      <c r="U50" s="15" t="s">
        <v>614</v>
      </c>
      <c r="V50" s="3" t="s">
        <v>615</v>
      </c>
      <c r="W50" s="15" t="s">
        <v>616</v>
      </c>
      <c r="X50" s="3"/>
      <c r="Y50" s="3"/>
      <c r="Z50" s="3"/>
      <c r="AA50" s="3" t="s">
        <v>89</v>
      </c>
      <c r="AB50" s="13" t="n">
        <v>46319</v>
      </c>
    </row>
    <row r="51" customFormat="false" ht="46.25" hidden="false" customHeight="false" outlineLevel="0" collapsed="false">
      <c r="A51" s="3" t="s">
        <v>617</v>
      </c>
      <c r="B51" s="3" t="s">
        <v>588</v>
      </c>
      <c r="C51" s="3" t="s">
        <v>589</v>
      </c>
      <c r="D51" s="3" t="s">
        <v>618</v>
      </c>
      <c r="E51" s="3" t="s">
        <v>619</v>
      </c>
      <c r="F51" s="3" t="s">
        <v>620</v>
      </c>
      <c r="G51" s="3" t="s">
        <v>621</v>
      </c>
      <c r="H51" s="3" t="s">
        <v>622</v>
      </c>
      <c r="I51" s="3" t="s">
        <v>623</v>
      </c>
      <c r="J51" s="17" t="s">
        <v>16</v>
      </c>
      <c r="K51" s="3" t="s">
        <v>75</v>
      </c>
      <c r="L51" s="3" t="s">
        <v>624</v>
      </c>
      <c r="M51" s="13" t="n">
        <v>45945</v>
      </c>
      <c r="N51" s="14" t="n">
        <f aca="false">IF(M51="","",M51-'Read Me'!$B$30)</f>
        <v>-374</v>
      </c>
      <c r="O51" s="3" t="s">
        <v>75</v>
      </c>
      <c r="P51" s="3" t="s">
        <v>625</v>
      </c>
      <c r="Q51" s="15" t="s">
        <v>626</v>
      </c>
      <c r="R51" s="3" t="s">
        <v>75</v>
      </c>
      <c r="S51" s="3" t="s">
        <v>75</v>
      </c>
      <c r="T51" s="3" t="s">
        <v>627</v>
      </c>
      <c r="U51" s="3" t="s">
        <v>75</v>
      </c>
      <c r="V51" s="3" t="s">
        <v>628</v>
      </c>
      <c r="W51" s="15" t="s">
        <v>626</v>
      </c>
      <c r="X51" s="3"/>
      <c r="Y51" s="3"/>
      <c r="Z51" s="3"/>
      <c r="AA51" s="3" t="s">
        <v>89</v>
      </c>
      <c r="AB51" s="13" t="n">
        <v>46319</v>
      </c>
    </row>
    <row r="52" customFormat="false" ht="57.45" hidden="false" customHeight="false" outlineLevel="0" collapsed="false">
      <c r="A52" s="3" t="s">
        <v>629</v>
      </c>
      <c r="B52" s="3" t="s">
        <v>630</v>
      </c>
      <c r="C52" s="3" t="s">
        <v>589</v>
      </c>
      <c r="D52" s="3" t="s">
        <v>71</v>
      </c>
      <c r="E52" s="3" t="s">
        <v>631</v>
      </c>
      <c r="F52" s="3" t="s">
        <v>632</v>
      </c>
      <c r="G52" s="3" t="s">
        <v>633</v>
      </c>
      <c r="H52" s="3" t="s">
        <v>634</v>
      </c>
      <c r="I52" s="3" t="s">
        <v>75</v>
      </c>
      <c r="J52" s="17" t="s">
        <v>16</v>
      </c>
      <c r="K52" s="3" t="s">
        <v>635</v>
      </c>
      <c r="L52" s="3" t="s">
        <v>636</v>
      </c>
      <c r="M52" s="13" t="n">
        <v>46217</v>
      </c>
      <c r="N52" s="14" t="n">
        <f aca="false">IF(M52="","",M52-'Read Me'!$B$30)</f>
        <v>-102</v>
      </c>
      <c r="O52" s="3" t="s">
        <v>637</v>
      </c>
      <c r="P52" s="3" t="s">
        <v>75</v>
      </c>
      <c r="Q52" s="3" t="s">
        <v>75</v>
      </c>
      <c r="R52" s="3" t="s">
        <v>75</v>
      </c>
      <c r="S52" s="3" t="s">
        <v>638</v>
      </c>
      <c r="T52" s="3" t="s">
        <v>75</v>
      </c>
      <c r="U52" s="3" t="s">
        <v>75</v>
      </c>
      <c r="V52" s="3" t="s">
        <v>639</v>
      </c>
      <c r="W52" s="15" t="s">
        <v>640</v>
      </c>
      <c r="X52" s="15" t="s">
        <v>641</v>
      </c>
      <c r="Y52" s="3"/>
      <c r="Z52" s="3"/>
      <c r="AA52" s="3" t="s">
        <v>89</v>
      </c>
      <c r="AB52" s="13" t="n">
        <v>46319</v>
      </c>
    </row>
    <row r="53" customFormat="false" ht="46.25" hidden="false" customHeight="false" outlineLevel="0" collapsed="false">
      <c r="A53" s="3" t="s">
        <v>642</v>
      </c>
      <c r="B53" s="3" t="s">
        <v>643</v>
      </c>
      <c r="C53" s="3" t="s">
        <v>171</v>
      </c>
      <c r="D53" s="3" t="s">
        <v>644</v>
      </c>
      <c r="E53" s="3" t="s">
        <v>645</v>
      </c>
      <c r="F53" s="3" t="s">
        <v>382</v>
      </c>
      <c r="G53" s="3" t="s">
        <v>382</v>
      </c>
      <c r="H53" s="3" t="s">
        <v>382</v>
      </c>
      <c r="I53" s="3" t="s">
        <v>382</v>
      </c>
      <c r="J53" s="12" t="s">
        <v>18</v>
      </c>
      <c r="K53" s="3" t="s">
        <v>382</v>
      </c>
      <c r="L53" s="3" t="s">
        <v>382</v>
      </c>
      <c r="M53" s="13"/>
      <c r="N53" s="14" t="str">
        <f aca="false">IF(M53="","",M53-'Read Me'!$B$30)</f>
        <v/>
      </c>
      <c r="O53" s="3" t="s">
        <v>382</v>
      </c>
      <c r="P53" s="3" t="s">
        <v>75</v>
      </c>
      <c r="Q53" s="3" t="s">
        <v>75</v>
      </c>
      <c r="R53" s="3" t="s">
        <v>75</v>
      </c>
      <c r="S53" s="3" t="s">
        <v>382</v>
      </c>
      <c r="T53" s="3" t="s">
        <v>382</v>
      </c>
      <c r="U53" s="3" t="s">
        <v>382</v>
      </c>
      <c r="V53" s="3" t="s">
        <v>646</v>
      </c>
      <c r="W53" s="15" t="s">
        <v>647</v>
      </c>
      <c r="X53" s="15" t="s">
        <v>648</v>
      </c>
      <c r="Y53" s="3"/>
      <c r="Z53" s="3"/>
      <c r="AA53" s="3" t="s">
        <v>80</v>
      </c>
      <c r="AB53" s="13" t="n">
        <v>46319</v>
      </c>
    </row>
    <row r="54" customFormat="false" ht="79.85" hidden="false" customHeight="false" outlineLevel="0" collapsed="false">
      <c r="A54" s="3" t="s">
        <v>649</v>
      </c>
      <c r="B54" s="3" t="s">
        <v>650</v>
      </c>
      <c r="C54" s="3" t="s">
        <v>651</v>
      </c>
      <c r="D54" s="3" t="s">
        <v>652</v>
      </c>
      <c r="E54" s="3" t="s">
        <v>653</v>
      </c>
      <c r="F54" s="3" t="s">
        <v>654</v>
      </c>
      <c r="G54" s="3" t="s">
        <v>655</v>
      </c>
      <c r="H54" s="3" t="s">
        <v>656</v>
      </c>
      <c r="I54" s="3" t="s">
        <v>471</v>
      </c>
      <c r="J54" s="17" t="s">
        <v>16</v>
      </c>
      <c r="K54" s="3" t="s">
        <v>657</v>
      </c>
      <c r="L54" s="3" t="s">
        <v>658</v>
      </c>
      <c r="M54" s="13" t="n">
        <v>46241</v>
      </c>
      <c r="N54" s="14" t="n">
        <f aca="false">IF(M54="","",M54-'Read Me'!$B$30)</f>
        <v>-78</v>
      </c>
      <c r="O54" s="3" t="s">
        <v>659</v>
      </c>
      <c r="P54" s="3" t="s">
        <v>75</v>
      </c>
      <c r="Q54" s="3" t="s">
        <v>75</v>
      </c>
      <c r="R54" s="3" t="s">
        <v>75</v>
      </c>
      <c r="S54" s="3" t="s">
        <v>660</v>
      </c>
      <c r="T54" s="3" t="s">
        <v>75</v>
      </c>
      <c r="U54" s="3" t="s">
        <v>75</v>
      </c>
      <c r="V54" s="3" t="s">
        <v>661</v>
      </c>
      <c r="W54" s="15" t="s">
        <v>662</v>
      </c>
      <c r="X54" s="15" t="s">
        <v>663</v>
      </c>
      <c r="Y54" s="3"/>
      <c r="Z54" s="3"/>
      <c r="AA54" s="3" t="s">
        <v>159</v>
      </c>
      <c r="AB54" s="13" t="n">
        <v>46319</v>
      </c>
    </row>
    <row r="55" customFormat="false" ht="57.45" hidden="false" customHeight="false" outlineLevel="0" collapsed="false">
      <c r="A55" s="3" t="s">
        <v>664</v>
      </c>
      <c r="B55" s="3" t="s">
        <v>665</v>
      </c>
      <c r="C55" s="3" t="s">
        <v>70</v>
      </c>
      <c r="D55" s="3" t="s">
        <v>71</v>
      </c>
      <c r="E55" s="3" t="s">
        <v>72</v>
      </c>
      <c r="F55" s="3" t="s">
        <v>666</v>
      </c>
      <c r="G55" s="3" t="s">
        <v>74</v>
      </c>
      <c r="H55" s="3" t="s">
        <v>75</v>
      </c>
      <c r="I55" s="3" t="s">
        <v>75</v>
      </c>
      <c r="J55" s="12" t="s">
        <v>18</v>
      </c>
      <c r="K55" s="3" t="s">
        <v>667</v>
      </c>
      <c r="L55" s="3" t="s">
        <v>668</v>
      </c>
      <c r="M55" s="13" t="n">
        <v>46245</v>
      </c>
      <c r="N55" s="14" t="n">
        <f aca="false">IF(M55="","",M55-'Read Me'!$B$30)</f>
        <v>-74</v>
      </c>
      <c r="O55" s="3" t="s">
        <v>75</v>
      </c>
      <c r="P55" s="3" t="s">
        <v>75</v>
      </c>
      <c r="Q55" s="3" t="s">
        <v>75</v>
      </c>
      <c r="R55" s="3" t="s">
        <v>75</v>
      </c>
      <c r="S55" s="3" t="s">
        <v>75</v>
      </c>
      <c r="T55" s="3" t="s">
        <v>75</v>
      </c>
      <c r="U55" s="3" t="s">
        <v>75</v>
      </c>
      <c r="V55" s="3" t="s">
        <v>669</v>
      </c>
      <c r="W55" s="15" t="s">
        <v>79</v>
      </c>
      <c r="X55" s="3"/>
      <c r="Y55" s="3"/>
      <c r="Z55" s="3"/>
      <c r="AA55" s="3" t="s">
        <v>80</v>
      </c>
      <c r="AB55" s="13" t="n">
        <v>46319</v>
      </c>
    </row>
    <row r="56" customFormat="false" ht="46.25" hidden="false" customHeight="false" outlineLevel="0" collapsed="false">
      <c r="A56" s="3" t="s">
        <v>670</v>
      </c>
      <c r="B56" s="3" t="s">
        <v>671</v>
      </c>
      <c r="C56" s="3" t="s">
        <v>148</v>
      </c>
      <c r="D56" s="3" t="s">
        <v>71</v>
      </c>
      <c r="E56" s="3" t="s">
        <v>672</v>
      </c>
      <c r="F56" s="3" t="s">
        <v>673</v>
      </c>
      <c r="G56" s="3" t="s">
        <v>674</v>
      </c>
      <c r="H56" s="3" t="s">
        <v>675</v>
      </c>
      <c r="I56" s="3" t="s">
        <v>75</v>
      </c>
      <c r="J56" s="18" t="s">
        <v>12</v>
      </c>
      <c r="K56" s="3" t="s">
        <v>676</v>
      </c>
      <c r="L56" s="3" t="s">
        <v>677</v>
      </c>
      <c r="M56" s="13" t="n">
        <v>46326</v>
      </c>
      <c r="N56" s="14" t="n">
        <f aca="false">IF(M56="","",M56-'Read Me'!$B$30)</f>
        <v>7</v>
      </c>
      <c r="O56" s="3" t="s">
        <v>75</v>
      </c>
      <c r="P56" s="3" t="s">
        <v>75</v>
      </c>
      <c r="Q56" s="3" t="s">
        <v>75</v>
      </c>
      <c r="R56" s="3" t="s">
        <v>75</v>
      </c>
      <c r="S56" s="3" t="s">
        <v>678</v>
      </c>
      <c r="T56" s="3" t="s">
        <v>75</v>
      </c>
      <c r="U56" s="3" t="s">
        <v>75</v>
      </c>
      <c r="V56" s="3" t="s">
        <v>679</v>
      </c>
      <c r="W56" s="15" t="s">
        <v>680</v>
      </c>
      <c r="X56" s="15" t="s">
        <v>681</v>
      </c>
      <c r="Y56" s="3"/>
      <c r="Z56" s="3"/>
      <c r="AA56" s="3" t="s">
        <v>159</v>
      </c>
      <c r="AB56" s="13" t="n">
        <v>46319</v>
      </c>
    </row>
    <row r="57" customFormat="false" ht="79.85" hidden="false" customHeight="false" outlineLevel="0" collapsed="false">
      <c r="A57" s="3" t="s">
        <v>682</v>
      </c>
      <c r="B57" s="3" t="s">
        <v>683</v>
      </c>
      <c r="C57" s="3" t="s">
        <v>380</v>
      </c>
      <c r="D57" s="3" t="s">
        <v>71</v>
      </c>
      <c r="E57" s="3" t="s">
        <v>684</v>
      </c>
      <c r="F57" s="3" t="s">
        <v>685</v>
      </c>
      <c r="G57" s="3" t="s">
        <v>686</v>
      </c>
      <c r="H57" s="3" t="s">
        <v>687</v>
      </c>
      <c r="I57" s="3" t="s">
        <v>688</v>
      </c>
      <c r="J57" s="19" t="s">
        <v>10</v>
      </c>
      <c r="K57" s="3" t="s">
        <v>689</v>
      </c>
      <c r="L57" s="3" t="s">
        <v>690</v>
      </c>
      <c r="M57" s="13" t="n">
        <v>46546</v>
      </c>
      <c r="N57" s="14" t="n">
        <f aca="false">IF(M57="","",M57-'Read Me'!$B$30)</f>
        <v>227</v>
      </c>
      <c r="O57" s="3" t="s">
        <v>75</v>
      </c>
      <c r="P57" s="3" t="s">
        <v>691</v>
      </c>
      <c r="Q57" s="3" t="s">
        <v>75</v>
      </c>
      <c r="R57" s="3" t="s">
        <v>75</v>
      </c>
      <c r="S57" s="3" t="s">
        <v>75</v>
      </c>
      <c r="T57" s="3" t="s">
        <v>692</v>
      </c>
      <c r="U57" s="15" t="s">
        <v>693</v>
      </c>
      <c r="V57" s="3" t="s">
        <v>694</v>
      </c>
      <c r="W57" s="15" t="s">
        <v>693</v>
      </c>
      <c r="X57" s="15" t="s">
        <v>695</v>
      </c>
      <c r="Y57" s="3"/>
      <c r="Z57" s="3"/>
      <c r="AA57" s="3" t="s">
        <v>89</v>
      </c>
      <c r="AB57" s="13" t="n">
        <v>46319</v>
      </c>
    </row>
    <row r="58" customFormat="false" ht="46.25" hidden="false" customHeight="false" outlineLevel="0" collapsed="false">
      <c r="A58" s="3" t="s">
        <v>696</v>
      </c>
      <c r="B58" s="3" t="s">
        <v>683</v>
      </c>
      <c r="C58" s="3" t="s">
        <v>380</v>
      </c>
      <c r="D58" s="3" t="s">
        <v>71</v>
      </c>
      <c r="E58" s="3" t="s">
        <v>697</v>
      </c>
      <c r="F58" s="3" t="s">
        <v>698</v>
      </c>
      <c r="G58" s="3" t="s">
        <v>699</v>
      </c>
      <c r="H58" s="3" t="s">
        <v>700</v>
      </c>
      <c r="I58" s="3" t="s">
        <v>701</v>
      </c>
      <c r="J58" s="18" t="s">
        <v>12</v>
      </c>
      <c r="K58" s="3" t="s">
        <v>689</v>
      </c>
      <c r="L58" s="3" t="s">
        <v>702</v>
      </c>
      <c r="M58" s="13" t="n">
        <v>46501</v>
      </c>
      <c r="N58" s="14" t="n">
        <f aca="false">IF(M58="","",M58-'Read Me'!$B$30)</f>
        <v>182</v>
      </c>
      <c r="O58" s="3" t="s">
        <v>75</v>
      </c>
      <c r="P58" s="3" t="s">
        <v>75</v>
      </c>
      <c r="Q58" s="3" t="s">
        <v>75</v>
      </c>
      <c r="R58" s="3" t="s">
        <v>75</v>
      </c>
      <c r="S58" s="3" t="s">
        <v>75</v>
      </c>
      <c r="T58" s="3" t="s">
        <v>703</v>
      </c>
      <c r="U58" s="15" t="s">
        <v>704</v>
      </c>
      <c r="V58" s="3" t="s">
        <v>705</v>
      </c>
      <c r="W58" s="15" t="s">
        <v>693</v>
      </c>
      <c r="X58" s="15" t="s">
        <v>706</v>
      </c>
      <c r="Y58" s="3"/>
      <c r="Z58" s="3"/>
      <c r="AA58" s="3" t="s">
        <v>89</v>
      </c>
      <c r="AB58" s="13" t="n">
        <v>46319</v>
      </c>
    </row>
    <row r="59" customFormat="false" ht="91" hidden="false" customHeight="false" outlineLevel="0" collapsed="false">
      <c r="A59" s="3" t="s">
        <v>707</v>
      </c>
      <c r="B59" s="3" t="s">
        <v>683</v>
      </c>
      <c r="C59" s="3" t="s">
        <v>380</v>
      </c>
      <c r="D59" s="3" t="s">
        <v>71</v>
      </c>
      <c r="E59" s="3" t="s">
        <v>708</v>
      </c>
      <c r="F59" s="3" t="s">
        <v>709</v>
      </c>
      <c r="G59" s="3" t="s">
        <v>710</v>
      </c>
      <c r="H59" s="3" t="s">
        <v>711</v>
      </c>
      <c r="I59" s="3" t="s">
        <v>712</v>
      </c>
      <c r="J59" s="17" t="s">
        <v>16</v>
      </c>
      <c r="K59" s="3" t="s">
        <v>689</v>
      </c>
      <c r="L59" s="3" t="s">
        <v>713</v>
      </c>
      <c r="M59" s="13" t="n">
        <v>46510</v>
      </c>
      <c r="N59" s="14" t="n">
        <f aca="false">IF(M59="","",M59-'Read Me'!$B$30)</f>
        <v>191</v>
      </c>
      <c r="O59" s="3" t="s">
        <v>714</v>
      </c>
      <c r="P59" s="3" t="s">
        <v>75</v>
      </c>
      <c r="Q59" s="3" t="s">
        <v>75</v>
      </c>
      <c r="R59" s="3" t="s">
        <v>75</v>
      </c>
      <c r="S59" s="3" t="s">
        <v>75</v>
      </c>
      <c r="T59" s="3" t="s">
        <v>75</v>
      </c>
      <c r="U59" s="15" t="s">
        <v>693</v>
      </c>
      <c r="V59" s="3" t="s">
        <v>715</v>
      </c>
      <c r="W59" s="15" t="s">
        <v>693</v>
      </c>
      <c r="X59" s="15" t="s">
        <v>716</v>
      </c>
      <c r="Y59" s="3"/>
      <c r="Z59" s="3"/>
      <c r="AA59" s="3" t="s">
        <v>89</v>
      </c>
      <c r="AB59" s="13" t="n">
        <v>46319</v>
      </c>
    </row>
    <row r="60" customFormat="false" ht="68.65" hidden="false" customHeight="false" outlineLevel="0" collapsed="false">
      <c r="A60" s="3" t="s">
        <v>717</v>
      </c>
      <c r="B60" s="3" t="s">
        <v>718</v>
      </c>
      <c r="C60" s="3" t="s">
        <v>380</v>
      </c>
      <c r="D60" s="3" t="s">
        <v>719</v>
      </c>
      <c r="E60" s="3" t="s">
        <v>720</v>
      </c>
      <c r="F60" s="3" t="s">
        <v>721</v>
      </c>
      <c r="G60" s="3" t="s">
        <v>722</v>
      </c>
      <c r="H60" s="3" t="s">
        <v>723</v>
      </c>
      <c r="I60" s="3" t="s">
        <v>75</v>
      </c>
      <c r="J60" s="16" t="s">
        <v>14</v>
      </c>
      <c r="K60" s="3" t="s">
        <v>724</v>
      </c>
      <c r="L60" s="3" t="s">
        <v>725</v>
      </c>
      <c r="M60" s="13"/>
      <c r="N60" s="14" t="str">
        <f aca="false">IF(M60="","",M60-'Read Me'!$B$30)</f>
        <v/>
      </c>
      <c r="O60" s="3" t="s">
        <v>726</v>
      </c>
      <c r="P60" s="3" t="s">
        <v>75</v>
      </c>
      <c r="Q60" s="3" t="s">
        <v>75</v>
      </c>
      <c r="R60" s="3" t="s">
        <v>75</v>
      </c>
      <c r="S60" s="3" t="s">
        <v>75</v>
      </c>
      <c r="T60" s="3" t="s">
        <v>75</v>
      </c>
      <c r="U60" s="3" t="s">
        <v>75</v>
      </c>
      <c r="V60" s="3" t="s">
        <v>727</v>
      </c>
      <c r="W60" s="15" t="s">
        <v>728</v>
      </c>
      <c r="X60" s="15" t="s">
        <v>729</v>
      </c>
      <c r="Y60" s="3"/>
      <c r="Z60" s="3"/>
      <c r="AA60" s="3" t="s">
        <v>159</v>
      </c>
      <c r="AB60" s="13" t="n">
        <v>46319</v>
      </c>
    </row>
    <row r="61" customFormat="false" ht="46.25" hidden="false" customHeight="false" outlineLevel="0" collapsed="false">
      <c r="A61" s="3" t="s">
        <v>730</v>
      </c>
      <c r="B61" s="3" t="s">
        <v>718</v>
      </c>
      <c r="C61" s="3" t="s">
        <v>380</v>
      </c>
      <c r="D61" s="3" t="s">
        <v>731</v>
      </c>
      <c r="E61" s="3" t="s">
        <v>732</v>
      </c>
      <c r="F61" s="3" t="s">
        <v>733</v>
      </c>
      <c r="G61" s="3" t="s">
        <v>734</v>
      </c>
      <c r="H61" s="3" t="s">
        <v>735</v>
      </c>
      <c r="I61" s="3" t="s">
        <v>736</v>
      </c>
      <c r="J61" s="17" t="s">
        <v>16</v>
      </c>
      <c r="K61" s="3" t="s">
        <v>737</v>
      </c>
      <c r="L61" s="3" t="s">
        <v>738</v>
      </c>
      <c r="M61" s="13" t="n">
        <v>46244</v>
      </c>
      <c r="N61" s="14" t="n">
        <f aca="false">IF(M61="","",M61-'Read Me'!$B$30)</f>
        <v>-75</v>
      </c>
      <c r="O61" s="3" t="s">
        <v>739</v>
      </c>
      <c r="P61" s="3" t="s">
        <v>740</v>
      </c>
      <c r="Q61" s="15" t="s">
        <v>741</v>
      </c>
      <c r="R61" s="3" t="s">
        <v>75</v>
      </c>
      <c r="S61" s="3" t="s">
        <v>742</v>
      </c>
      <c r="T61" s="3" t="s">
        <v>743</v>
      </c>
      <c r="U61" s="15" t="s">
        <v>744</v>
      </c>
      <c r="V61" s="3" t="s">
        <v>745</v>
      </c>
      <c r="W61" s="15" t="s">
        <v>746</v>
      </c>
      <c r="X61" s="15" t="s">
        <v>747</v>
      </c>
      <c r="Y61" s="15" t="s">
        <v>743</v>
      </c>
      <c r="Z61" s="3"/>
      <c r="AA61" s="3" t="s">
        <v>159</v>
      </c>
      <c r="AB61" s="13" t="n">
        <v>46319</v>
      </c>
    </row>
    <row r="62" customFormat="false" ht="68.65" hidden="false" customHeight="false" outlineLevel="0" collapsed="false">
      <c r="A62" s="3" t="s">
        <v>748</v>
      </c>
      <c r="B62" s="3" t="s">
        <v>718</v>
      </c>
      <c r="C62" s="3" t="s">
        <v>380</v>
      </c>
      <c r="D62" s="3" t="s">
        <v>749</v>
      </c>
      <c r="E62" s="3" t="s">
        <v>750</v>
      </c>
      <c r="F62" s="3" t="s">
        <v>751</v>
      </c>
      <c r="G62" s="3" t="s">
        <v>752</v>
      </c>
      <c r="H62" s="3" t="s">
        <v>753</v>
      </c>
      <c r="I62" s="3" t="s">
        <v>754</v>
      </c>
      <c r="J62" s="17" t="s">
        <v>16</v>
      </c>
      <c r="K62" s="3" t="s">
        <v>755</v>
      </c>
      <c r="L62" s="3" t="s">
        <v>756</v>
      </c>
      <c r="M62" s="13" t="n">
        <v>46203</v>
      </c>
      <c r="N62" s="14" t="n">
        <f aca="false">IF(M62="","",M62-'Read Me'!$B$30)</f>
        <v>-116</v>
      </c>
      <c r="O62" s="3" t="s">
        <v>757</v>
      </c>
      <c r="P62" s="3" t="s">
        <v>75</v>
      </c>
      <c r="Q62" s="3" t="s">
        <v>75</v>
      </c>
      <c r="R62" s="3" t="s">
        <v>758</v>
      </c>
      <c r="S62" s="3" t="s">
        <v>759</v>
      </c>
      <c r="T62" s="3" t="s">
        <v>75</v>
      </c>
      <c r="U62" s="3" t="s">
        <v>75</v>
      </c>
      <c r="V62" s="3" t="s">
        <v>760</v>
      </c>
      <c r="W62" s="15" t="s">
        <v>761</v>
      </c>
      <c r="X62" s="15" t="s">
        <v>762</v>
      </c>
      <c r="Y62" s="3"/>
      <c r="Z62" s="3"/>
      <c r="AA62" s="3" t="s">
        <v>159</v>
      </c>
      <c r="AB62" s="13" t="n">
        <v>46319</v>
      </c>
    </row>
    <row r="63" customFormat="false" ht="102.2" hidden="false" customHeight="false" outlineLevel="0" collapsed="false">
      <c r="A63" s="3" t="s">
        <v>763</v>
      </c>
      <c r="B63" s="3" t="s">
        <v>764</v>
      </c>
      <c r="C63" s="3" t="s">
        <v>380</v>
      </c>
      <c r="D63" s="3" t="s">
        <v>71</v>
      </c>
      <c r="E63" s="3" t="s">
        <v>765</v>
      </c>
      <c r="F63" s="3" t="s">
        <v>766</v>
      </c>
      <c r="G63" s="3" t="s">
        <v>767</v>
      </c>
      <c r="H63" s="3" t="s">
        <v>768</v>
      </c>
      <c r="I63" s="3" t="s">
        <v>769</v>
      </c>
      <c r="J63" s="18" t="s">
        <v>12</v>
      </c>
      <c r="K63" s="3" t="s">
        <v>770</v>
      </c>
      <c r="L63" s="3" t="s">
        <v>771</v>
      </c>
      <c r="M63" s="13" t="n">
        <v>46344</v>
      </c>
      <c r="N63" s="14" t="n">
        <f aca="false">IF(M63="","",M63-'Read Me'!$B$30)</f>
        <v>25</v>
      </c>
      <c r="O63" s="3" t="s">
        <v>75</v>
      </c>
      <c r="P63" s="3" t="s">
        <v>75</v>
      </c>
      <c r="Q63" s="3" t="s">
        <v>75</v>
      </c>
      <c r="R63" s="3" t="s">
        <v>772</v>
      </c>
      <c r="S63" s="3" t="s">
        <v>773</v>
      </c>
      <c r="T63" s="3" t="s">
        <v>75</v>
      </c>
      <c r="U63" s="15" t="s">
        <v>774</v>
      </c>
      <c r="V63" s="3" t="s">
        <v>775</v>
      </c>
      <c r="W63" s="15" t="s">
        <v>776</v>
      </c>
      <c r="X63" s="15" t="s">
        <v>777</v>
      </c>
      <c r="Y63" s="3"/>
      <c r="Z63" s="3"/>
      <c r="AA63" s="3" t="s">
        <v>159</v>
      </c>
      <c r="AB63" s="13" t="n">
        <v>46319</v>
      </c>
    </row>
    <row r="64" customFormat="false" ht="102.2" hidden="false" customHeight="false" outlineLevel="0" collapsed="false">
      <c r="A64" s="3" t="s">
        <v>778</v>
      </c>
      <c r="B64" s="3" t="s">
        <v>764</v>
      </c>
      <c r="C64" s="3" t="s">
        <v>380</v>
      </c>
      <c r="D64" s="3" t="s">
        <v>71</v>
      </c>
      <c r="E64" s="3" t="s">
        <v>779</v>
      </c>
      <c r="F64" s="3" t="s">
        <v>780</v>
      </c>
      <c r="G64" s="3" t="s">
        <v>781</v>
      </c>
      <c r="H64" s="3" t="s">
        <v>782</v>
      </c>
      <c r="I64" s="3" t="s">
        <v>75</v>
      </c>
      <c r="J64" s="18" t="s">
        <v>12</v>
      </c>
      <c r="K64" s="3" t="s">
        <v>783</v>
      </c>
      <c r="L64" s="3" t="s">
        <v>784</v>
      </c>
      <c r="M64" s="13" t="n">
        <v>46344</v>
      </c>
      <c r="N64" s="14" t="n">
        <f aca="false">IF(M64="","",M64-'Read Me'!$B$30)</f>
        <v>25</v>
      </c>
      <c r="O64" s="3" t="s">
        <v>75</v>
      </c>
      <c r="P64" s="3" t="s">
        <v>75</v>
      </c>
      <c r="Q64" s="3" t="s">
        <v>75</v>
      </c>
      <c r="R64" s="3" t="s">
        <v>785</v>
      </c>
      <c r="S64" s="3" t="s">
        <v>786</v>
      </c>
      <c r="T64" s="3" t="s">
        <v>75</v>
      </c>
      <c r="U64" s="3" t="s">
        <v>75</v>
      </c>
      <c r="V64" s="3" t="s">
        <v>787</v>
      </c>
      <c r="W64" s="15" t="s">
        <v>777</v>
      </c>
      <c r="X64" s="15" t="s">
        <v>788</v>
      </c>
      <c r="Y64" s="15" t="s">
        <v>789</v>
      </c>
      <c r="Z64" s="3" t="s">
        <v>776</v>
      </c>
      <c r="AA64" s="3" t="s">
        <v>80</v>
      </c>
      <c r="AB64" s="13" t="n">
        <v>46319</v>
      </c>
    </row>
    <row r="65" customFormat="false" ht="79.85" hidden="false" customHeight="false" outlineLevel="0" collapsed="false">
      <c r="A65" s="3" t="s">
        <v>790</v>
      </c>
      <c r="B65" s="3" t="s">
        <v>764</v>
      </c>
      <c r="C65" s="3" t="s">
        <v>380</v>
      </c>
      <c r="D65" s="3" t="s">
        <v>71</v>
      </c>
      <c r="E65" s="3" t="s">
        <v>791</v>
      </c>
      <c r="F65" s="3" t="s">
        <v>792</v>
      </c>
      <c r="G65" s="3" t="s">
        <v>781</v>
      </c>
      <c r="H65" s="3" t="s">
        <v>793</v>
      </c>
      <c r="I65" s="3" t="s">
        <v>794</v>
      </c>
      <c r="J65" s="18" t="s">
        <v>12</v>
      </c>
      <c r="K65" s="3" t="s">
        <v>795</v>
      </c>
      <c r="L65" s="3" t="s">
        <v>784</v>
      </c>
      <c r="M65" s="13" t="n">
        <v>46344</v>
      </c>
      <c r="N65" s="14" t="n">
        <f aca="false">IF(M65="","",M65-'Read Me'!$B$30)</f>
        <v>25</v>
      </c>
      <c r="O65" s="3" t="s">
        <v>75</v>
      </c>
      <c r="P65" s="3" t="s">
        <v>75</v>
      </c>
      <c r="Q65" s="3" t="s">
        <v>75</v>
      </c>
      <c r="R65" s="3" t="s">
        <v>796</v>
      </c>
      <c r="S65" s="3" t="s">
        <v>797</v>
      </c>
      <c r="T65" s="3" t="s">
        <v>75</v>
      </c>
      <c r="U65" s="3" t="s">
        <v>75</v>
      </c>
      <c r="V65" s="3" t="s">
        <v>798</v>
      </c>
      <c r="W65" s="15" t="s">
        <v>799</v>
      </c>
      <c r="X65" s="15" t="s">
        <v>800</v>
      </c>
      <c r="Y65" s="15" t="s">
        <v>777</v>
      </c>
      <c r="Z65" s="3" t="s">
        <v>788</v>
      </c>
      <c r="AA65" s="3" t="s">
        <v>80</v>
      </c>
      <c r="AB65" s="13" t="n">
        <v>46319</v>
      </c>
    </row>
    <row r="66" customFormat="false" ht="102.2" hidden="false" customHeight="false" outlineLevel="0" collapsed="false">
      <c r="A66" s="3" t="s">
        <v>801</v>
      </c>
      <c r="B66" s="3" t="s">
        <v>764</v>
      </c>
      <c r="C66" s="3" t="s">
        <v>380</v>
      </c>
      <c r="D66" s="3" t="s">
        <v>71</v>
      </c>
      <c r="E66" s="3" t="s">
        <v>802</v>
      </c>
      <c r="F66" s="3" t="s">
        <v>803</v>
      </c>
      <c r="G66" s="3" t="s">
        <v>804</v>
      </c>
      <c r="H66" s="3" t="s">
        <v>805</v>
      </c>
      <c r="I66" s="3" t="s">
        <v>806</v>
      </c>
      <c r="J66" s="18" t="s">
        <v>12</v>
      </c>
      <c r="K66" s="3" t="s">
        <v>807</v>
      </c>
      <c r="L66" s="3" t="s">
        <v>784</v>
      </c>
      <c r="M66" s="13" t="n">
        <v>46344</v>
      </c>
      <c r="N66" s="14" t="n">
        <f aca="false">IF(M66="","",M66-'Read Me'!$B$30)</f>
        <v>25</v>
      </c>
      <c r="O66" s="3" t="s">
        <v>75</v>
      </c>
      <c r="P66" s="3" t="s">
        <v>75</v>
      </c>
      <c r="Q66" s="3" t="s">
        <v>75</v>
      </c>
      <c r="R66" s="3" t="s">
        <v>808</v>
      </c>
      <c r="S66" s="3" t="s">
        <v>809</v>
      </c>
      <c r="T66" s="3" t="s">
        <v>810</v>
      </c>
      <c r="U66" s="15" t="s">
        <v>811</v>
      </c>
      <c r="V66" s="3" t="s">
        <v>812</v>
      </c>
      <c r="W66" s="15" t="s">
        <v>777</v>
      </c>
      <c r="X66" s="15" t="s">
        <v>788</v>
      </c>
      <c r="Y66" s="15" t="s">
        <v>776</v>
      </c>
      <c r="Z66" s="3"/>
      <c r="AA66" s="3" t="s">
        <v>80</v>
      </c>
      <c r="AB66" s="13" t="n">
        <v>46319</v>
      </c>
    </row>
    <row r="67" customFormat="false" ht="57.45" hidden="false" customHeight="false" outlineLevel="0" collapsed="false">
      <c r="A67" s="3" t="s">
        <v>813</v>
      </c>
      <c r="B67" s="3" t="s">
        <v>764</v>
      </c>
      <c r="C67" s="3" t="s">
        <v>380</v>
      </c>
      <c r="D67" s="3" t="s">
        <v>71</v>
      </c>
      <c r="E67" s="3" t="s">
        <v>814</v>
      </c>
      <c r="F67" s="3" t="s">
        <v>815</v>
      </c>
      <c r="G67" s="3" t="s">
        <v>804</v>
      </c>
      <c r="H67" s="3" t="s">
        <v>816</v>
      </c>
      <c r="I67" s="3" t="s">
        <v>75</v>
      </c>
      <c r="J67" s="18" t="s">
        <v>12</v>
      </c>
      <c r="K67" s="3" t="s">
        <v>807</v>
      </c>
      <c r="L67" s="3" t="s">
        <v>784</v>
      </c>
      <c r="M67" s="13" t="n">
        <v>46344</v>
      </c>
      <c r="N67" s="14" t="n">
        <f aca="false">IF(M67="","",M67-'Read Me'!$B$30)</f>
        <v>25</v>
      </c>
      <c r="O67" s="3" t="s">
        <v>75</v>
      </c>
      <c r="P67" s="3" t="s">
        <v>75</v>
      </c>
      <c r="Q67" s="3" t="s">
        <v>75</v>
      </c>
      <c r="R67" s="3" t="s">
        <v>75</v>
      </c>
      <c r="S67" s="3" t="s">
        <v>817</v>
      </c>
      <c r="T67" s="3" t="s">
        <v>75</v>
      </c>
      <c r="U67" s="3" t="s">
        <v>75</v>
      </c>
      <c r="V67" s="3" t="s">
        <v>818</v>
      </c>
      <c r="W67" s="15" t="s">
        <v>788</v>
      </c>
      <c r="X67" s="15" t="s">
        <v>777</v>
      </c>
      <c r="Y67" s="3"/>
      <c r="Z67" s="3"/>
      <c r="AA67" s="3" t="s">
        <v>89</v>
      </c>
      <c r="AB67" s="13" t="n">
        <v>46319</v>
      </c>
    </row>
    <row r="68" customFormat="false" ht="35.05" hidden="false" customHeight="false" outlineLevel="0" collapsed="false">
      <c r="A68" s="3" t="s">
        <v>819</v>
      </c>
      <c r="B68" s="3" t="s">
        <v>764</v>
      </c>
      <c r="C68" s="3" t="s">
        <v>380</v>
      </c>
      <c r="D68" s="3" t="s">
        <v>71</v>
      </c>
      <c r="E68" s="3" t="s">
        <v>820</v>
      </c>
      <c r="F68" s="3" t="s">
        <v>821</v>
      </c>
      <c r="G68" s="3" t="s">
        <v>822</v>
      </c>
      <c r="H68" s="3" t="s">
        <v>823</v>
      </c>
      <c r="I68" s="3" t="s">
        <v>75</v>
      </c>
      <c r="J68" s="17" t="s">
        <v>16</v>
      </c>
      <c r="K68" s="3" t="s">
        <v>824</v>
      </c>
      <c r="L68" s="3" t="s">
        <v>825</v>
      </c>
      <c r="M68" s="13"/>
      <c r="N68" s="14" t="str">
        <f aca="false">IF(M68="","",M68-'Read Me'!$B$30)</f>
        <v/>
      </c>
      <c r="O68" s="3" t="s">
        <v>75</v>
      </c>
      <c r="P68" s="3" t="s">
        <v>75</v>
      </c>
      <c r="Q68" s="3" t="s">
        <v>75</v>
      </c>
      <c r="R68" s="3" t="s">
        <v>826</v>
      </c>
      <c r="S68" s="3" t="s">
        <v>75</v>
      </c>
      <c r="T68" s="3" t="s">
        <v>75</v>
      </c>
      <c r="U68" s="3" t="s">
        <v>75</v>
      </c>
      <c r="V68" s="3" t="s">
        <v>827</v>
      </c>
      <c r="W68" s="15" t="s">
        <v>776</v>
      </c>
      <c r="X68" s="3"/>
      <c r="Y68" s="3"/>
      <c r="Z68" s="3"/>
      <c r="AA68" s="3" t="s">
        <v>89</v>
      </c>
      <c r="AB68" s="13" t="n">
        <v>46319</v>
      </c>
    </row>
    <row r="69" customFormat="false" ht="35.05" hidden="false" customHeight="false" outlineLevel="0" collapsed="false">
      <c r="A69" s="3" t="s">
        <v>828</v>
      </c>
      <c r="B69" s="3" t="s">
        <v>764</v>
      </c>
      <c r="C69" s="3" t="s">
        <v>380</v>
      </c>
      <c r="D69" s="3" t="s">
        <v>71</v>
      </c>
      <c r="E69" s="3" t="s">
        <v>829</v>
      </c>
      <c r="F69" s="3" t="s">
        <v>830</v>
      </c>
      <c r="G69" s="3" t="s">
        <v>831</v>
      </c>
      <c r="H69" s="3" t="s">
        <v>832</v>
      </c>
      <c r="I69" s="3" t="s">
        <v>833</v>
      </c>
      <c r="J69" s="17" t="s">
        <v>16</v>
      </c>
      <c r="K69" s="3" t="s">
        <v>824</v>
      </c>
      <c r="L69" s="3" t="s">
        <v>825</v>
      </c>
      <c r="M69" s="13"/>
      <c r="N69" s="14" t="str">
        <f aca="false">IF(M69="","",M69-'Read Me'!$B$30)</f>
        <v/>
      </c>
      <c r="O69" s="3" t="s">
        <v>75</v>
      </c>
      <c r="P69" s="3" t="s">
        <v>75</v>
      </c>
      <c r="Q69" s="3" t="s">
        <v>75</v>
      </c>
      <c r="R69" s="3" t="s">
        <v>834</v>
      </c>
      <c r="S69" s="3" t="s">
        <v>75</v>
      </c>
      <c r="T69" s="3" t="s">
        <v>75</v>
      </c>
      <c r="U69" s="3" t="s">
        <v>75</v>
      </c>
      <c r="V69" s="3" t="s">
        <v>835</v>
      </c>
      <c r="W69" s="15" t="s">
        <v>776</v>
      </c>
      <c r="X69" s="3"/>
      <c r="Y69" s="3"/>
      <c r="Z69" s="3"/>
      <c r="AA69" s="3" t="s">
        <v>89</v>
      </c>
      <c r="AB69" s="13" t="n">
        <v>46319</v>
      </c>
    </row>
    <row r="70" customFormat="false" ht="79.85" hidden="false" customHeight="false" outlineLevel="0" collapsed="false">
      <c r="A70" s="3" t="s">
        <v>836</v>
      </c>
      <c r="B70" s="3" t="s">
        <v>764</v>
      </c>
      <c r="C70" s="3" t="s">
        <v>380</v>
      </c>
      <c r="D70" s="3" t="s">
        <v>71</v>
      </c>
      <c r="E70" s="3" t="s">
        <v>837</v>
      </c>
      <c r="F70" s="3" t="s">
        <v>838</v>
      </c>
      <c r="G70" s="3" t="s">
        <v>831</v>
      </c>
      <c r="H70" s="3" t="s">
        <v>839</v>
      </c>
      <c r="I70" s="3" t="s">
        <v>840</v>
      </c>
      <c r="J70" s="17" t="s">
        <v>16</v>
      </c>
      <c r="K70" s="3" t="s">
        <v>824</v>
      </c>
      <c r="L70" s="3" t="s">
        <v>841</v>
      </c>
      <c r="M70" s="13" t="n">
        <v>45994</v>
      </c>
      <c r="N70" s="14" t="n">
        <f aca="false">IF(M70="","",M70-'Read Me'!$B$30)</f>
        <v>-325</v>
      </c>
      <c r="O70" s="3" t="s">
        <v>75</v>
      </c>
      <c r="P70" s="3" t="s">
        <v>75</v>
      </c>
      <c r="Q70" s="3" t="s">
        <v>75</v>
      </c>
      <c r="R70" s="3" t="s">
        <v>842</v>
      </c>
      <c r="S70" s="3" t="s">
        <v>75</v>
      </c>
      <c r="T70" s="3" t="s">
        <v>75</v>
      </c>
      <c r="U70" s="3" t="s">
        <v>75</v>
      </c>
      <c r="V70" s="3" t="s">
        <v>843</v>
      </c>
      <c r="W70" s="15" t="s">
        <v>776</v>
      </c>
      <c r="X70" s="15" t="s">
        <v>844</v>
      </c>
      <c r="Y70" s="3"/>
      <c r="Z70" s="3"/>
      <c r="AA70" s="3" t="s">
        <v>89</v>
      </c>
      <c r="AB70" s="13" t="n">
        <v>46319</v>
      </c>
    </row>
    <row r="71" customFormat="false" ht="102.2" hidden="false" customHeight="false" outlineLevel="0" collapsed="false">
      <c r="A71" s="3" t="s">
        <v>845</v>
      </c>
      <c r="B71" s="3" t="s">
        <v>764</v>
      </c>
      <c r="C71" s="3" t="s">
        <v>380</v>
      </c>
      <c r="D71" s="3" t="s">
        <v>71</v>
      </c>
      <c r="E71" s="3" t="s">
        <v>846</v>
      </c>
      <c r="F71" s="3" t="s">
        <v>847</v>
      </c>
      <c r="G71" s="3" t="s">
        <v>848</v>
      </c>
      <c r="H71" s="3" t="s">
        <v>849</v>
      </c>
      <c r="I71" s="3" t="s">
        <v>75</v>
      </c>
      <c r="J71" s="17" t="s">
        <v>16</v>
      </c>
      <c r="K71" s="3" t="s">
        <v>850</v>
      </c>
      <c r="L71" s="3" t="s">
        <v>851</v>
      </c>
      <c r="M71" s="13" t="n">
        <v>46318</v>
      </c>
      <c r="N71" s="14" t="n">
        <f aca="false">IF(M71="","",M71-'Read Me'!$B$30)</f>
        <v>-1</v>
      </c>
      <c r="O71" s="3" t="s">
        <v>75</v>
      </c>
      <c r="P71" s="3" t="s">
        <v>75</v>
      </c>
      <c r="Q71" s="3" t="s">
        <v>75</v>
      </c>
      <c r="R71" s="3" t="s">
        <v>75</v>
      </c>
      <c r="S71" s="3" t="s">
        <v>852</v>
      </c>
      <c r="T71" s="3" t="s">
        <v>853</v>
      </c>
      <c r="U71" s="15" t="s">
        <v>854</v>
      </c>
      <c r="V71" s="3" t="s">
        <v>855</v>
      </c>
      <c r="W71" s="15" t="s">
        <v>856</v>
      </c>
      <c r="X71" s="15" t="s">
        <v>857</v>
      </c>
      <c r="Y71" s="15" t="s">
        <v>858</v>
      </c>
      <c r="Z71" s="3" t="s">
        <v>859</v>
      </c>
      <c r="AA71" s="3" t="s">
        <v>80</v>
      </c>
      <c r="AB71" s="13" t="n">
        <v>46319</v>
      </c>
    </row>
    <row r="72" customFormat="false" ht="135.8" hidden="false" customHeight="false" outlineLevel="0" collapsed="false">
      <c r="A72" s="3" t="s">
        <v>860</v>
      </c>
      <c r="B72" s="3" t="s">
        <v>764</v>
      </c>
      <c r="C72" s="3" t="s">
        <v>380</v>
      </c>
      <c r="D72" s="3" t="s">
        <v>71</v>
      </c>
      <c r="E72" s="3" t="s">
        <v>861</v>
      </c>
      <c r="F72" s="3" t="s">
        <v>862</v>
      </c>
      <c r="G72" s="3" t="s">
        <v>863</v>
      </c>
      <c r="H72" s="3" t="s">
        <v>864</v>
      </c>
      <c r="I72" s="3" t="s">
        <v>865</v>
      </c>
      <c r="J72" s="17" t="s">
        <v>16</v>
      </c>
      <c r="K72" s="3" t="s">
        <v>382</v>
      </c>
      <c r="L72" s="3" t="s">
        <v>382</v>
      </c>
      <c r="M72" s="13"/>
      <c r="N72" s="14" t="str">
        <f aca="false">IF(M72="","",M72-'Read Me'!$B$30)</f>
        <v/>
      </c>
      <c r="O72" s="3" t="s">
        <v>382</v>
      </c>
      <c r="P72" s="3" t="s">
        <v>866</v>
      </c>
      <c r="Q72" s="15" t="s">
        <v>867</v>
      </c>
      <c r="R72" s="3" t="s">
        <v>75</v>
      </c>
      <c r="S72" s="3" t="s">
        <v>75</v>
      </c>
      <c r="T72" s="3" t="s">
        <v>277</v>
      </c>
      <c r="U72" s="15" t="s">
        <v>868</v>
      </c>
      <c r="V72" s="3" t="s">
        <v>869</v>
      </c>
      <c r="W72" s="15" t="s">
        <v>870</v>
      </c>
      <c r="X72" s="15" t="s">
        <v>871</v>
      </c>
      <c r="Y72" s="15" t="s">
        <v>872</v>
      </c>
      <c r="Z72" s="3" t="s">
        <v>873</v>
      </c>
      <c r="AA72" s="3" t="s">
        <v>80</v>
      </c>
      <c r="AB72" s="13" t="n">
        <v>46319</v>
      </c>
    </row>
    <row r="73" customFormat="false" ht="46.25" hidden="false" customHeight="false" outlineLevel="0" collapsed="false">
      <c r="A73" s="3" t="s">
        <v>874</v>
      </c>
      <c r="B73" s="3" t="s">
        <v>875</v>
      </c>
      <c r="C73" s="3" t="s">
        <v>651</v>
      </c>
      <c r="D73" s="3" t="s">
        <v>876</v>
      </c>
      <c r="E73" s="3" t="s">
        <v>877</v>
      </c>
      <c r="F73" s="3" t="s">
        <v>878</v>
      </c>
      <c r="G73" s="3" t="s">
        <v>127</v>
      </c>
      <c r="H73" s="3" t="s">
        <v>879</v>
      </c>
      <c r="I73" s="3" t="s">
        <v>880</v>
      </c>
      <c r="J73" s="16" t="s">
        <v>14</v>
      </c>
      <c r="K73" s="3" t="s">
        <v>75</v>
      </c>
      <c r="L73" s="3" t="s">
        <v>881</v>
      </c>
      <c r="M73" s="13"/>
      <c r="N73" s="14" t="str">
        <f aca="false">IF(M73="","",M73-'Read Me'!$B$30)</f>
        <v/>
      </c>
      <c r="O73" s="3" t="s">
        <v>75</v>
      </c>
      <c r="P73" s="3" t="s">
        <v>882</v>
      </c>
      <c r="Q73" s="3" t="s">
        <v>75</v>
      </c>
      <c r="R73" s="3" t="s">
        <v>75</v>
      </c>
      <c r="S73" s="3" t="s">
        <v>883</v>
      </c>
      <c r="T73" s="3" t="s">
        <v>75</v>
      </c>
      <c r="U73" s="3" t="s">
        <v>75</v>
      </c>
      <c r="V73" s="3" t="s">
        <v>884</v>
      </c>
      <c r="W73" s="15" t="s">
        <v>885</v>
      </c>
      <c r="X73" s="3"/>
      <c r="Y73" s="3"/>
      <c r="Z73" s="3"/>
      <c r="AA73" s="3" t="s">
        <v>159</v>
      </c>
      <c r="AB73" s="13" t="n">
        <v>46319</v>
      </c>
    </row>
    <row r="74" customFormat="false" ht="57.45" hidden="false" customHeight="false" outlineLevel="0" collapsed="false">
      <c r="A74" s="3" t="s">
        <v>886</v>
      </c>
      <c r="B74" s="3" t="s">
        <v>875</v>
      </c>
      <c r="C74" s="3" t="s">
        <v>651</v>
      </c>
      <c r="D74" s="3" t="s">
        <v>887</v>
      </c>
      <c r="E74" s="3" t="s">
        <v>888</v>
      </c>
      <c r="F74" s="3" t="s">
        <v>889</v>
      </c>
      <c r="G74" s="3" t="s">
        <v>152</v>
      </c>
      <c r="H74" s="3" t="s">
        <v>890</v>
      </c>
      <c r="I74" s="3" t="s">
        <v>471</v>
      </c>
      <c r="J74" s="16" t="s">
        <v>14</v>
      </c>
      <c r="K74" s="3" t="s">
        <v>75</v>
      </c>
      <c r="L74" s="3" t="s">
        <v>891</v>
      </c>
      <c r="M74" s="13"/>
      <c r="N74" s="14" t="str">
        <f aca="false">IF(M74="","",M74-'Read Me'!$B$30)</f>
        <v/>
      </c>
      <c r="O74" s="3" t="s">
        <v>892</v>
      </c>
      <c r="P74" s="3" t="s">
        <v>75</v>
      </c>
      <c r="Q74" s="3" t="s">
        <v>75</v>
      </c>
      <c r="R74" s="3" t="s">
        <v>75</v>
      </c>
      <c r="S74" s="3" t="s">
        <v>893</v>
      </c>
      <c r="T74" s="3" t="s">
        <v>75</v>
      </c>
      <c r="U74" s="3" t="s">
        <v>75</v>
      </c>
      <c r="V74" s="3" t="s">
        <v>894</v>
      </c>
      <c r="W74" s="15" t="s">
        <v>895</v>
      </c>
      <c r="X74" s="15" t="s">
        <v>896</v>
      </c>
      <c r="Y74" s="3"/>
      <c r="Z74" s="3"/>
      <c r="AA74" s="3" t="s">
        <v>159</v>
      </c>
      <c r="AB74" s="13" t="n">
        <v>46319</v>
      </c>
    </row>
    <row r="75" customFormat="false" ht="113.4" hidden="false" customHeight="false" outlineLevel="0" collapsed="false">
      <c r="A75" s="3" t="s">
        <v>897</v>
      </c>
      <c r="B75" s="3" t="s">
        <v>875</v>
      </c>
      <c r="C75" s="3" t="s">
        <v>589</v>
      </c>
      <c r="D75" s="3" t="s">
        <v>71</v>
      </c>
      <c r="E75" s="3" t="s">
        <v>898</v>
      </c>
      <c r="F75" s="3" t="s">
        <v>899</v>
      </c>
      <c r="G75" s="3" t="s">
        <v>900</v>
      </c>
      <c r="H75" s="3" t="s">
        <v>901</v>
      </c>
      <c r="I75" s="3" t="s">
        <v>902</v>
      </c>
      <c r="J75" s="16" t="s">
        <v>14</v>
      </c>
      <c r="K75" s="3" t="s">
        <v>903</v>
      </c>
      <c r="L75" s="3" t="s">
        <v>904</v>
      </c>
      <c r="M75" s="13"/>
      <c r="N75" s="14" t="str">
        <f aca="false">IF(M75="","",M75-'Read Me'!$B$30)</f>
        <v/>
      </c>
      <c r="O75" s="3" t="s">
        <v>905</v>
      </c>
      <c r="P75" s="3" t="s">
        <v>75</v>
      </c>
      <c r="Q75" s="3" t="s">
        <v>75</v>
      </c>
      <c r="R75" s="3" t="s">
        <v>906</v>
      </c>
      <c r="S75" s="3" t="s">
        <v>907</v>
      </c>
      <c r="T75" s="3" t="s">
        <v>75</v>
      </c>
      <c r="U75" s="3" t="s">
        <v>75</v>
      </c>
      <c r="V75" s="3" t="s">
        <v>908</v>
      </c>
      <c r="W75" s="15" t="s">
        <v>909</v>
      </c>
      <c r="X75" s="15" t="s">
        <v>910</v>
      </c>
      <c r="Y75" s="15" t="s">
        <v>911</v>
      </c>
      <c r="Z75" s="3" t="s">
        <v>912</v>
      </c>
      <c r="AA75" s="3" t="s">
        <v>80</v>
      </c>
      <c r="AB75" s="13" t="n">
        <v>46319</v>
      </c>
    </row>
    <row r="76" customFormat="false" ht="91" hidden="false" customHeight="false" outlineLevel="0" collapsed="false">
      <c r="A76" s="3" t="s">
        <v>913</v>
      </c>
      <c r="B76" s="3" t="s">
        <v>875</v>
      </c>
      <c r="C76" s="3" t="s">
        <v>589</v>
      </c>
      <c r="D76" s="3" t="s">
        <v>71</v>
      </c>
      <c r="E76" s="3" t="s">
        <v>914</v>
      </c>
      <c r="F76" s="3" t="s">
        <v>915</v>
      </c>
      <c r="G76" s="3" t="s">
        <v>916</v>
      </c>
      <c r="H76" s="3" t="s">
        <v>917</v>
      </c>
      <c r="I76" s="3" t="s">
        <v>918</v>
      </c>
      <c r="J76" s="17" t="s">
        <v>16</v>
      </c>
      <c r="K76" s="3" t="s">
        <v>919</v>
      </c>
      <c r="L76" s="3" t="s">
        <v>920</v>
      </c>
      <c r="M76" s="13" t="n">
        <v>46209</v>
      </c>
      <c r="N76" s="14" t="n">
        <f aca="false">IF(M76="","",M76-'Read Me'!$B$30)</f>
        <v>-110</v>
      </c>
      <c r="O76" s="3" t="s">
        <v>921</v>
      </c>
      <c r="P76" s="3" t="s">
        <v>922</v>
      </c>
      <c r="Q76" s="3" t="s">
        <v>75</v>
      </c>
      <c r="R76" s="3" t="s">
        <v>923</v>
      </c>
      <c r="S76" s="3" t="s">
        <v>924</v>
      </c>
      <c r="T76" s="3" t="s">
        <v>75</v>
      </c>
      <c r="U76" s="3" t="s">
        <v>75</v>
      </c>
      <c r="V76" s="3" t="s">
        <v>925</v>
      </c>
      <c r="W76" s="15" t="s">
        <v>926</v>
      </c>
      <c r="X76" s="15" t="s">
        <v>927</v>
      </c>
      <c r="Y76" s="15" t="s">
        <v>928</v>
      </c>
      <c r="Z76" s="3" t="s">
        <v>929</v>
      </c>
      <c r="AA76" s="3" t="s">
        <v>89</v>
      </c>
      <c r="AB76" s="13" t="n">
        <v>46319</v>
      </c>
    </row>
    <row r="77" customFormat="false" ht="91" hidden="false" customHeight="false" outlineLevel="0" collapsed="false">
      <c r="A77" s="3" t="s">
        <v>930</v>
      </c>
      <c r="B77" s="3" t="s">
        <v>875</v>
      </c>
      <c r="C77" s="3" t="s">
        <v>589</v>
      </c>
      <c r="D77" s="3" t="s">
        <v>71</v>
      </c>
      <c r="E77" s="3" t="s">
        <v>931</v>
      </c>
      <c r="F77" s="3" t="s">
        <v>932</v>
      </c>
      <c r="G77" s="3" t="s">
        <v>933</v>
      </c>
      <c r="H77" s="3" t="s">
        <v>934</v>
      </c>
      <c r="I77" s="3" t="s">
        <v>75</v>
      </c>
      <c r="J77" s="17" t="s">
        <v>16</v>
      </c>
      <c r="K77" s="3" t="s">
        <v>935</v>
      </c>
      <c r="L77" s="3" t="s">
        <v>936</v>
      </c>
      <c r="M77" s="13" t="n">
        <v>46169</v>
      </c>
      <c r="N77" s="14" t="n">
        <f aca="false">IF(M77="","",M77-'Read Me'!$B$30)</f>
        <v>-150</v>
      </c>
      <c r="O77" s="3" t="s">
        <v>937</v>
      </c>
      <c r="P77" s="3" t="s">
        <v>75</v>
      </c>
      <c r="Q77" s="3" t="s">
        <v>75</v>
      </c>
      <c r="R77" s="3" t="s">
        <v>75</v>
      </c>
      <c r="S77" s="3" t="s">
        <v>938</v>
      </c>
      <c r="T77" s="3" t="s">
        <v>75</v>
      </c>
      <c r="U77" s="3" t="s">
        <v>75</v>
      </c>
      <c r="V77" s="3" t="s">
        <v>939</v>
      </c>
      <c r="W77" s="15" t="s">
        <v>940</v>
      </c>
      <c r="X77" s="15" t="s">
        <v>929</v>
      </c>
      <c r="Y77" s="15" t="s">
        <v>941</v>
      </c>
      <c r="Z77" s="3" t="s">
        <v>942</v>
      </c>
      <c r="AA77" s="3" t="s">
        <v>89</v>
      </c>
      <c r="AB77" s="13" t="n">
        <v>46319</v>
      </c>
    </row>
    <row r="78" customFormat="false" ht="57.45" hidden="false" customHeight="false" outlineLevel="0" collapsed="false">
      <c r="A78" s="3" t="s">
        <v>943</v>
      </c>
      <c r="B78" s="3" t="s">
        <v>944</v>
      </c>
      <c r="C78" s="3" t="s">
        <v>171</v>
      </c>
      <c r="D78" s="3" t="s">
        <v>644</v>
      </c>
      <c r="E78" s="3" t="s">
        <v>645</v>
      </c>
      <c r="F78" s="3" t="s">
        <v>382</v>
      </c>
      <c r="G78" s="3" t="s">
        <v>382</v>
      </c>
      <c r="H78" s="3" t="s">
        <v>382</v>
      </c>
      <c r="I78" s="3" t="s">
        <v>382</v>
      </c>
      <c r="J78" s="12" t="s">
        <v>18</v>
      </c>
      <c r="K78" s="3" t="s">
        <v>382</v>
      </c>
      <c r="L78" s="3" t="s">
        <v>382</v>
      </c>
      <c r="M78" s="13"/>
      <c r="N78" s="14" t="str">
        <f aca="false">IF(M78="","",M78-'Read Me'!$B$30)</f>
        <v/>
      </c>
      <c r="O78" s="3" t="s">
        <v>382</v>
      </c>
      <c r="P78" s="3" t="s">
        <v>75</v>
      </c>
      <c r="Q78" s="3" t="s">
        <v>75</v>
      </c>
      <c r="R78" s="3" t="s">
        <v>75</v>
      </c>
      <c r="S78" s="3" t="s">
        <v>382</v>
      </c>
      <c r="T78" s="3" t="s">
        <v>382</v>
      </c>
      <c r="U78" s="3" t="s">
        <v>382</v>
      </c>
      <c r="V78" s="3" t="s">
        <v>945</v>
      </c>
      <c r="W78" s="15" t="s">
        <v>647</v>
      </c>
      <c r="X78" s="15" t="s">
        <v>648</v>
      </c>
      <c r="Y78" s="3"/>
      <c r="Z78" s="3"/>
      <c r="AA78" s="3" t="s">
        <v>80</v>
      </c>
      <c r="AB78" s="13" t="n">
        <v>46319</v>
      </c>
    </row>
    <row r="79" customFormat="false" ht="124.6" hidden="false" customHeight="false" outlineLevel="0" collapsed="false">
      <c r="A79" s="3" t="s">
        <v>946</v>
      </c>
      <c r="B79" s="3" t="s">
        <v>947</v>
      </c>
      <c r="C79" s="3" t="s">
        <v>70</v>
      </c>
      <c r="D79" s="3" t="s">
        <v>71</v>
      </c>
      <c r="E79" s="3" t="s">
        <v>948</v>
      </c>
      <c r="F79" s="3" t="s">
        <v>949</v>
      </c>
      <c r="G79" s="3" t="s">
        <v>950</v>
      </c>
      <c r="H79" s="3" t="s">
        <v>75</v>
      </c>
      <c r="I79" s="3" t="s">
        <v>75</v>
      </c>
      <c r="J79" s="12" t="s">
        <v>18</v>
      </c>
      <c r="K79" s="3" t="s">
        <v>951</v>
      </c>
      <c r="L79" s="3" t="s">
        <v>75</v>
      </c>
      <c r="M79" s="13"/>
      <c r="N79" s="14" t="str">
        <f aca="false">IF(M79="","",M79-'Read Me'!$B$30)</f>
        <v/>
      </c>
      <c r="O79" s="3" t="s">
        <v>75</v>
      </c>
      <c r="P79" s="3" t="s">
        <v>75</v>
      </c>
      <c r="Q79" s="3" t="s">
        <v>75</v>
      </c>
      <c r="R79" s="3" t="s">
        <v>75</v>
      </c>
      <c r="S79" s="3" t="s">
        <v>75</v>
      </c>
      <c r="T79" s="3" t="s">
        <v>75</v>
      </c>
      <c r="U79" s="3" t="s">
        <v>75</v>
      </c>
      <c r="V79" s="3" t="s">
        <v>952</v>
      </c>
      <c r="W79" s="15" t="s">
        <v>953</v>
      </c>
      <c r="X79" s="15" t="s">
        <v>79</v>
      </c>
      <c r="Y79" s="3"/>
      <c r="Z79" s="3"/>
      <c r="AA79" s="3" t="s">
        <v>89</v>
      </c>
      <c r="AB79" s="13" t="n">
        <v>46319</v>
      </c>
    </row>
    <row r="80" customFormat="false" ht="102.2" hidden="false" customHeight="false" outlineLevel="0" collapsed="false">
      <c r="A80" s="3" t="s">
        <v>954</v>
      </c>
      <c r="B80" s="3" t="s">
        <v>955</v>
      </c>
      <c r="C80" s="3" t="s">
        <v>171</v>
      </c>
      <c r="D80" s="3" t="s">
        <v>71</v>
      </c>
      <c r="E80" s="3" t="s">
        <v>956</v>
      </c>
      <c r="F80" s="3" t="s">
        <v>957</v>
      </c>
      <c r="G80" s="3" t="s">
        <v>958</v>
      </c>
      <c r="H80" s="3" t="s">
        <v>959</v>
      </c>
      <c r="I80" s="3" t="s">
        <v>75</v>
      </c>
      <c r="J80" s="16" t="s">
        <v>14</v>
      </c>
      <c r="K80" s="3" t="s">
        <v>960</v>
      </c>
      <c r="L80" s="3" t="s">
        <v>961</v>
      </c>
      <c r="M80" s="13"/>
      <c r="N80" s="14" t="str">
        <f aca="false">IF(M80="","",M80-'Read Me'!$B$30)</f>
        <v/>
      </c>
      <c r="O80" s="3" t="s">
        <v>962</v>
      </c>
      <c r="P80" s="3" t="s">
        <v>75</v>
      </c>
      <c r="Q80" s="3" t="s">
        <v>75</v>
      </c>
      <c r="R80" s="3" t="s">
        <v>75</v>
      </c>
      <c r="S80" s="3" t="s">
        <v>963</v>
      </c>
      <c r="T80" s="3" t="s">
        <v>75</v>
      </c>
      <c r="U80" s="3" t="s">
        <v>75</v>
      </c>
      <c r="V80" s="3" t="s">
        <v>964</v>
      </c>
      <c r="W80" s="15" t="s">
        <v>965</v>
      </c>
      <c r="X80" s="3"/>
      <c r="Y80" s="3"/>
      <c r="Z80" s="3"/>
      <c r="AA80" s="3" t="s">
        <v>80</v>
      </c>
      <c r="AB80" s="13" t="n">
        <v>46319</v>
      </c>
    </row>
    <row r="81" customFormat="false" ht="102.2" hidden="false" customHeight="false" outlineLevel="0" collapsed="false">
      <c r="A81" s="3" t="s">
        <v>966</v>
      </c>
      <c r="B81" s="3" t="s">
        <v>955</v>
      </c>
      <c r="C81" s="3" t="s">
        <v>171</v>
      </c>
      <c r="D81" s="3" t="s">
        <v>71</v>
      </c>
      <c r="E81" s="3" t="s">
        <v>967</v>
      </c>
      <c r="F81" s="3" t="s">
        <v>968</v>
      </c>
      <c r="G81" s="3" t="s">
        <v>174</v>
      </c>
      <c r="H81" s="3" t="s">
        <v>969</v>
      </c>
      <c r="I81" s="3" t="s">
        <v>75</v>
      </c>
      <c r="J81" s="17" t="s">
        <v>16</v>
      </c>
      <c r="K81" s="3" t="s">
        <v>970</v>
      </c>
      <c r="L81" s="3" t="s">
        <v>971</v>
      </c>
      <c r="M81" s="13" t="n">
        <v>46145</v>
      </c>
      <c r="N81" s="14" t="n">
        <f aca="false">IF(M81="","",M81-'Read Me'!$B$30)</f>
        <v>-174</v>
      </c>
      <c r="O81" s="3" t="s">
        <v>972</v>
      </c>
      <c r="P81" s="3" t="s">
        <v>75</v>
      </c>
      <c r="Q81" s="3" t="s">
        <v>75</v>
      </c>
      <c r="R81" s="3" t="s">
        <v>973</v>
      </c>
      <c r="S81" s="3" t="s">
        <v>75</v>
      </c>
      <c r="T81" s="3" t="s">
        <v>75</v>
      </c>
      <c r="U81" s="3" t="s">
        <v>75</v>
      </c>
      <c r="V81" s="3" t="s">
        <v>974</v>
      </c>
      <c r="W81" s="15" t="s">
        <v>975</v>
      </c>
      <c r="X81" s="15" t="s">
        <v>976</v>
      </c>
      <c r="Y81" s="3"/>
      <c r="Z81" s="3"/>
      <c r="AA81" s="3" t="s">
        <v>89</v>
      </c>
      <c r="AB81" s="13" t="n">
        <v>46319</v>
      </c>
    </row>
    <row r="82" customFormat="false" ht="35.05" hidden="false" customHeight="false" outlineLevel="0" collapsed="false">
      <c r="A82" s="3" t="s">
        <v>977</v>
      </c>
      <c r="B82" s="3" t="s">
        <v>955</v>
      </c>
      <c r="C82" s="3" t="s">
        <v>651</v>
      </c>
      <c r="D82" s="3" t="s">
        <v>978</v>
      </c>
      <c r="E82" s="3" t="s">
        <v>979</v>
      </c>
      <c r="F82" s="3" t="s">
        <v>980</v>
      </c>
      <c r="G82" s="3" t="s">
        <v>152</v>
      </c>
      <c r="H82" s="3" t="s">
        <v>981</v>
      </c>
      <c r="I82" s="3" t="s">
        <v>75</v>
      </c>
      <c r="J82" s="17" t="s">
        <v>16</v>
      </c>
      <c r="K82" s="3" t="s">
        <v>982</v>
      </c>
      <c r="L82" s="3" t="s">
        <v>983</v>
      </c>
      <c r="M82" s="13" t="n">
        <v>46266</v>
      </c>
      <c r="N82" s="14" t="n">
        <f aca="false">IF(M82="","",M82-'Read Me'!$B$30)</f>
        <v>-53</v>
      </c>
      <c r="O82" s="3" t="s">
        <v>984</v>
      </c>
      <c r="P82" s="3" t="s">
        <v>75</v>
      </c>
      <c r="Q82" s="3" t="s">
        <v>75</v>
      </c>
      <c r="R82" s="3" t="s">
        <v>75</v>
      </c>
      <c r="S82" s="3" t="s">
        <v>985</v>
      </c>
      <c r="T82" s="3" t="s">
        <v>75</v>
      </c>
      <c r="U82" s="3" t="s">
        <v>75</v>
      </c>
      <c r="V82" s="3" t="s">
        <v>986</v>
      </c>
      <c r="W82" s="15" t="s">
        <v>987</v>
      </c>
      <c r="X82" s="15" t="s">
        <v>988</v>
      </c>
      <c r="Y82" s="3"/>
      <c r="Z82" s="3"/>
      <c r="AA82" s="3" t="s">
        <v>159</v>
      </c>
      <c r="AB82" s="13" t="n">
        <v>46319</v>
      </c>
    </row>
    <row r="83" customFormat="false" ht="135.8" hidden="false" customHeight="false" outlineLevel="0" collapsed="false">
      <c r="A83" s="3" t="s">
        <v>989</v>
      </c>
      <c r="B83" s="3" t="s">
        <v>955</v>
      </c>
      <c r="C83" s="3" t="s">
        <v>651</v>
      </c>
      <c r="D83" s="3" t="s">
        <v>990</v>
      </c>
      <c r="E83" s="3" t="s">
        <v>991</v>
      </c>
      <c r="F83" s="3" t="s">
        <v>992</v>
      </c>
      <c r="G83" s="3" t="s">
        <v>993</v>
      </c>
      <c r="H83" s="3" t="s">
        <v>994</v>
      </c>
      <c r="I83" s="3" t="s">
        <v>75</v>
      </c>
      <c r="J83" s="17" t="s">
        <v>16</v>
      </c>
      <c r="K83" s="3" t="s">
        <v>995</v>
      </c>
      <c r="L83" s="3" t="s">
        <v>996</v>
      </c>
      <c r="M83" s="13" t="n">
        <v>46329</v>
      </c>
      <c r="N83" s="14" t="n">
        <f aca="false">IF(M83="","",M83-'Read Me'!$B$30)</f>
        <v>10</v>
      </c>
      <c r="O83" s="3" t="s">
        <v>997</v>
      </c>
      <c r="P83" s="3" t="s">
        <v>75</v>
      </c>
      <c r="Q83" s="3" t="s">
        <v>75</v>
      </c>
      <c r="R83" s="3" t="s">
        <v>75</v>
      </c>
      <c r="S83" s="3" t="s">
        <v>998</v>
      </c>
      <c r="T83" s="3" t="s">
        <v>75</v>
      </c>
      <c r="U83" s="3" t="s">
        <v>75</v>
      </c>
      <c r="V83" s="3" t="s">
        <v>999</v>
      </c>
      <c r="W83" s="15" t="s">
        <v>1000</v>
      </c>
      <c r="X83" s="15" t="s">
        <v>1001</v>
      </c>
      <c r="Y83" s="3"/>
      <c r="Z83" s="3"/>
      <c r="AA83" s="3" t="s">
        <v>159</v>
      </c>
      <c r="AB83" s="13" t="n">
        <v>46319</v>
      </c>
    </row>
    <row r="84" customFormat="false" ht="68.65" hidden="false" customHeight="false" outlineLevel="0" collapsed="false">
      <c r="A84" s="3" t="s">
        <v>1002</v>
      </c>
      <c r="B84" s="3" t="s">
        <v>955</v>
      </c>
      <c r="C84" s="3" t="s">
        <v>171</v>
      </c>
      <c r="D84" s="3" t="s">
        <v>71</v>
      </c>
      <c r="E84" s="3" t="s">
        <v>1003</v>
      </c>
      <c r="F84" s="3" t="s">
        <v>1004</v>
      </c>
      <c r="G84" s="3" t="s">
        <v>1005</v>
      </c>
      <c r="H84" s="3" t="s">
        <v>1006</v>
      </c>
      <c r="I84" s="3" t="s">
        <v>75</v>
      </c>
      <c r="J84" s="17" t="s">
        <v>16</v>
      </c>
      <c r="K84" s="3" t="s">
        <v>1007</v>
      </c>
      <c r="L84" s="3" t="s">
        <v>1008</v>
      </c>
      <c r="M84" s="13" t="n">
        <v>46000</v>
      </c>
      <c r="N84" s="14" t="n">
        <f aca="false">IF(M84="","",M84-'Read Me'!$B$30)</f>
        <v>-319</v>
      </c>
      <c r="O84" s="3" t="s">
        <v>1009</v>
      </c>
      <c r="P84" s="3" t="s">
        <v>75</v>
      </c>
      <c r="Q84" s="3" t="s">
        <v>75</v>
      </c>
      <c r="R84" s="3" t="s">
        <v>75</v>
      </c>
      <c r="S84" s="3" t="s">
        <v>1010</v>
      </c>
      <c r="T84" s="3" t="s">
        <v>75</v>
      </c>
      <c r="U84" s="3" t="s">
        <v>75</v>
      </c>
      <c r="V84" s="3" t="s">
        <v>1011</v>
      </c>
      <c r="W84" s="15" t="s">
        <v>1012</v>
      </c>
      <c r="X84" s="15" t="s">
        <v>1013</v>
      </c>
      <c r="Y84" s="15" t="s">
        <v>1014</v>
      </c>
      <c r="Z84" s="3" t="s">
        <v>976</v>
      </c>
      <c r="AA84" s="3" t="s">
        <v>89</v>
      </c>
      <c r="AB84" s="13" t="n">
        <v>46319</v>
      </c>
    </row>
    <row r="85" customFormat="false" ht="57.45" hidden="false" customHeight="false" outlineLevel="0" collapsed="false">
      <c r="A85" s="3" t="s">
        <v>1015</v>
      </c>
      <c r="B85" s="3" t="s">
        <v>1016</v>
      </c>
      <c r="C85" s="3" t="s">
        <v>111</v>
      </c>
      <c r="D85" s="3" t="s">
        <v>71</v>
      </c>
      <c r="E85" s="3" t="s">
        <v>1017</v>
      </c>
      <c r="F85" s="3" t="s">
        <v>1018</v>
      </c>
      <c r="G85" s="3" t="s">
        <v>140</v>
      </c>
      <c r="H85" s="3" t="s">
        <v>1019</v>
      </c>
      <c r="I85" s="3" t="s">
        <v>75</v>
      </c>
      <c r="J85" s="17" t="s">
        <v>16</v>
      </c>
      <c r="K85" s="3" t="s">
        <v>1020</v>
      </c>
      <c r="L85" s="3" t="s">
        <v>1021</v>
      </c>
      <c r="M85" s="13" t="n">
        <v>46192</v>
      </c>
      <c r="N85" s="14" t="n">
        <f aca="false">IF(M85="","",M85-'Read Me'!$B$30)</f>
        <v>-127</v>
      </c>
      <c r="O85" s="3" t="s">
        <v>1022</v>
      </c>
      <c r="P85" s="3" t="s">
        <v>75</v>
      </c>
      <c r="Q85" s="3" t="s">
        <v>75</v>
      </c>
      <c r="R85" s="3" t="s">
        <v>1023</v>
      </c>
      <c r="S85" s="3" t="s">
        <v>75</v>
      </c>
      <c r="T85" s="3" t="s">
        <v>75</v>
      </c>
      <c r="U85" s="3" t="s">
        <v>75</v>
      </c>
      <c r="V85" s="3" t="s">
        <v>1024</v>
      </c>
      <c r="W85" s="15" t="s">
        <v>1025</v>
      </c>
      <c r="X85" s="3"/>
      <c r="Y85" s="3"/>
      <c r="Z85" s="3"/>
      <c r="AA85" s="3" t="s">
        <v>89</v>
      </c>
      <c r="AB85" s="13" t="n">
        <v>46319</v>
      </c>
    </row>
    <row r="86" customFormat="false" ht="35.05" hidden="false" customHeight="false" outlineLevel="0" collapsed="false">
      <c r="A86" s="3" t="s">
        <v>1026</v>
      </c>
      <c r="B86" s="3" t="s">
        <v>1016</v>
      </c>
      <c r="C86" s="3" t="s">
        <v>111</v>
      </c>
      <c r="D86" s="3" t="s">
        <v>71</v>
      </c>
      <c r="E86" s="3" t="s">
        <v>1027</v>
      </c>
      <c r="F86" s="3" t="s">
        <v>1028</v>
      </c>
      <c r="G86" s="3" t="s">
        <v>335</v>
      </c>
      <c r="H86" s="3" t="s">
        <v>1029</v>
      </c>
      <c r="I86" s="3" t="s">
        <v>75</v>
      </c>
      <c r="J86" s="17" t="s">
        <v>16</v>
      </c>
      <c r="K86" s="3" t="s">
        <v>1030</v>
      </c>
      <c r="L86" s="3" t="s">
        <v>1021</v>
      </c>
      <c r="M86" s="13" t="n">
        <v>46192</v>
      </c>
      <c r="N86" s="14" t="n">
        <f aca="false">IF(M86="","",M86-'Read Me'!$B$30)</f>
        <v>-127</v>
      </c>
      <c r="O86" s="3" t="s">
        <v>1031</v>
      </c>
      <c r="P86" s="3" t="s">
        <v>75</v>
      </c>
      <c r="Q86" s="3" t="s">
        <v>75</v>
      </c>
      <c r="R86" s="3" t="s">
        <v>75</v>
      </c>
      <c r="S86" s="3" t="s">
        <v>1032</v>
      </c>
      <c r="T86" s="3" t="s">
        <v>75</v>
      </c>
      <c r="U86" s="3" t="s">
        <v>75</v>
      </c>
      <c r="V86" s="3" t="s">
        <v>1033</v>
      </c>
      <c r="W86" s="15" t="s">
        <v>1034</v>
      </c>
      <c r="X86" s="15" t="s">
        <v>1035</v>
      </c>
      <c r="Y86" s="3"/>
      <c r="Z86" s="3"/>
      <c r="AA86" s="3" t="s">
        <v>89</v>
      </c>
      <c r="AB86" s="13" t="n">
        <v>46319</v>
      </c>
    </row>
    <row r="87" customFormat="false" ht="135.8" hidden="false" customHeight="false" outlineLevel="0" collapsed="false">
      <c r="A87" s="3" t="s">
        <v>1036</v>
      </c>
      <c r="B87" s="3" t="s">
        <v>1037</v>
      </c>
      <c r="C87" s="3" t="s">
        <v>171</v>
      </c>
      <c r="D87" s="3" t="s">
        <v>71</v>
      </c>
      <c r="E87" s="3" t="s">
        <v>1038</v>
      </c>
      <c r="F87" s="3" t="s">
        <v>1039</v>
      </c>
      <c r="G87" s="3" t="s">
        <v>1040</v>
      </c>
      <c r="H87" s="3" t="s">
        <v>1041</v>
      </c>
      <c r="I87" s="3" t="s">
        <v>1042</v>
      </c>
      <c r="J87" s="16" t="s">
        <v>14</v>
      </c>
      <c r="K87" s="3" t="s">
        <v>1043</v>
      </c>
      <c r="L87" s="3" t="s">
        <v>1044</v>
      </c>
      <c r="M87" s="13"/>
      <c r="N87" s="14" t="str">
        <f aca="false">IF(M87="","",M87-'Read Me'!$B$30)</f>
        <v/>
      </c>
      <c r="O87" s="3" t="s">
        <v>1045</v>
      </c>
      <c r="P87" s="3" t="s">
        <v>75</v>
      </c>
      <c r="Q87" s="3" t="s">
        <v>75</v>
      </c>
      <c r="R87" s="3" t="s">
        <v>75</v>
      </c>
      <c r="S87" s="3" t="s">
        <v>1046</v>
      </c>
      <c r="T87" s="3" t="s">
        <v>1047</v>
      </c>
      <c r="U87" s="3" t="s">
        <v>75</v>
      </c>
      <c r="V87" s="3" t="s">
        <v>1048</v>
      </c>
      <c r="W87" s="15" t="s">
        <v>1049</v>
      </c>
      <c r="X87" s="15" t="s">
        <v>1050</v>
      </c>
      <c r="Y87" s="3"/>
      <c r="Z87" s="3"/>
      <c r="AA87" s="3" t="s">
        <v>89</v>
      </c>
      <c r="AB87" s="13" t="n">
        <v>46319</v>
      </c>
    </row>
    <row r="88" customFormat="false" ht="68.65" hidden="false" customHeight="false" outlineLevel="0" collapsed="false">
      <c r="A88" s="3" t="s">
        <v>1051</v>
      </c>
      <c r="B88" s="3" t="s">
        <v>1037</v>
      </c>
      <c r="C88" s="3" t="s">
        <v>171</v>
      </c>
      <c r="D88" s="3" t="s">
        <v>71</v>
      </c>
      <c r="E88" s="3" t="s">
        <v>1052</v>
      </c>
      <c r="F88" s="3" t="s">
        <v>1053</v>
      </c>
      <c r="G88" s="3" t="s">
        <v>174</v>
      </c>
      <c r="H88" s="3" t="s">
        <v>1054</v>
      </c>
      <c r="I88" s="3" t="s">
        <v>75</v>
      </c>
      <c r="J88" s="17" t="s">
        <v>16</v>
      </c>
      <c r="K88" s="3" t="s">
        <v>1055</v>
      </c>
      <c r="L88" s="3" t="s">
        <v>1056</v>
      </c>
      <c r="M88" s="13" t="n">
        <v>46205</v>
      </c>
      <c r="N88" s="14" t="n">
        <f aca="false">IF(M88="","",M88-'Read Me'!$B$30)</f>
        <v>-114</v>
      </c>
      <c r="O88" s="3" t="s">
        <v>1057</v>
      </c>
      <c r="P88" s="3" t="s">
        <v>75</v>
      </c>
      <c r="Q88" s="3" t="s">
        <v>75</v>
      </c>
      <c r="R88" s="3" t="s">
        <v>75</v>
      </c>
      <c r="S88" s="3" t="s">
        <v>1058</v>
      </c>
      <c r="T88" s="3" t="s">
        <v>75</v>
      </c>
      <c r="U88" s="3" t="s">
        <v>75</v>
      </c>
      <c r="V88" s="3" t="s">
        <v>1059</v>
      </c>
      <c r="W88" s="15" t="s">
        <v>1060</v>
      </c>
      <c r="X88" s="3"/>
      <c r="Y88" s="3"/>
      <c r="Z88" s="3"/>
      <c r="AA88" s="3" t="s">
        <v>89</v>
      </c>
      <c r="AB88" s="13" t="n">
        <v>46319</v>
      </c>
    </row>
    <row r="89" customFormat="false" ht="68.65" hidden="false" customHeight="false" outlineLevel="0" collapsed="false">
      <c r="A89" s="3" t="s">
        <v>1061</v>
      </c>
      <c r="B89" s="3" t="s">
        <v>1037</v>
      </c>
      <c r="C89" s="3" t="s">
        <v>171</v>
      </c>
      <c r="D89" s="3" t="s">
        <v>71</v>
      </c>
      <c r="E89" s="3" t="s">
        <v>1062</v>
      </c>
      <c r="F89" s="3" t="s">
        <v>1063</v>
      </c>
      <c r="G89" s="3" t="s">
        <v>1064</v>
      </c>
      <c r="H89" s="3" t="s">
        <v>1065</v>
      </c>
      <c r="I89" s="3" t="s">
        <v>75</v>
      </c>
      <c r="J89" s="17" t="s">
        <v>16</v>
      </c>
      <c r="K89" s="3" t="s">
        <v>1066</v>
      </c>
      <c r="L89" s="3" t="s">
        <v>1067</v>
      </c>
      <c r="M89" s="13" t="n">
        <v>46205</v>
      </c>
      <c r="N89" s="14" t="n">
        <f aca="false">IF(M89="","",M89-'Read Me'!$B$30)</f>
        <v>-114</v>
      </c>
      <c r="O89" s="3" t="s">
        <v>1068</v>
      </c>
      <c r="P89" s="3" t="s">
        <v>75</v>
      </c>
      <c r="Q89" s="3" t="s">
        <v>75</v>
      </c>
      <c r="R89" s="3" t="s">
        <v>1069</v>
      </c>
      <c r="S89" s="3" t="s">
        <v>1070</v>
      </c>
      <c r="T89" s="3" t="s">
        <v>75</v>
      </c>
      <c r="U89" s="3" t="s">
        <v>75</v>
      </c>
      <c r="V89" s="3" t="s">
        <v>1071</v>
      </c>
      <c r="W89" s="15" t="s">
        <v>1072</v>
      </c>
      <c r="X89" s="15" t="s">
        <v>1073</v>
      </c>
      <c r="Y89" s="15" t="s">
        <v>1074</v>
      </c>
      <c r="Z89" s="3" t="s">
        <v>1075</v>
      </c>
      <c r="AA89" s="3" t="s">
        <v>89</v>
      </c>
      <c r="AB89" s="13" t="n">
        <v>46319</v>
      </c>
    </row>
    <row r="90" customFormat="false" ht="57.45" hidden="false" customHeight="false" outlineLevel="0" collapsed="false">
      <c r="A90" s="3" t="s">
        <v>1076</v>
      </c>
      <c r="B90" s="3" t="s">
        <v>1077</v>
      </c>
      <c r="C90" s="3" t="s">
        <v>83</v>
      </c>
      <c r="D90" s="3" t="s">
        <v>71</v>
      </c>
      <c r="E90" s="3" t="s">
        <v>1078</v>
      </c>
      <c r="F90" s="3" t="s">
        <v>1079</v>
      </c>
      <c r="G90" s="3" t="s">
        <v>205</v>
      </c>
      <c r="H90" s="3" t="s">
        <v>1080</v>
      </c>
      <c r="I90" s="3" t="s">
        <v>75</v>
      </c>
      <c r="J90" s="16" t="s">
        <v>14</v>
      </c>
      <c r="K90" s="3" t="s">
        <v>1081</v>
      </c>
      <c r="L90" s="3" t="s">
        <v>1082</v>
      </c>
      <c r="M90" s="13"/>
      <c r="N90" s="14" t="str">
        <f aca="false">IF(M90="","",M90-'Read Me'!$B$30)</f>
        <v/>
      </c>
      <c r="O90" s="3" t="s">
        <v>75</v>
      </c>
      <c r="P90" s="3" t="s">
        <v>75</v>
      </c>
      <c r="Q90" s="3" t="s">
        <v>75</v>
      </c>
      <c r="R90" s="3" t="s">
        <v>75</v>
      </c>
      <c r="S90" s="3" t="s">
        <v>1083</v>
      </c>
      <c r="T90" s="3" t="s">
        <v>75</v>
      </c>
      <c r="U90" s="3" t="s">
        <v>75</v>
      </c>
      <c r="V90" s="3" t="s">
        <v>1084</v>
      </c>
      <c r="W90" s="15" t="s">
        <v>1085</v>
      </c>
      <c r="X90" s="15" t="s">
        <v>1086</v>
      </c>
      <c r="Y90" s="3"/>
      <c r="Z90" s="3"/>
      <c r="AA90" s="3" t="s">
        <v>159</v>
      </c>
      <c r="AB90" s="13" t="n">
        <v>46319</v>
      </c>
    </row>
    <row r="91" customFormat="false" ht="102.2" hidden="false" customHeight="false" outlineLevel="0" collapsed="false">
      <c r="A91" s="3" t="s">
        <v>1087</v>
      </c>
      <c r="B91" s="3" t="s">
        <v>1077</v>
      </c>
      <c r="C91" s="3" t="s">
        <v>83</v>
      </c>
      <c r="D91" s="3" t="s">
        <v>71</v>
      </c>
      <c r="E91" s="3" t="s">
        <v>1088</v>
      </c>
      <c r="F91" s="3" t="s">
        <v>1089</v>
      </c>
      <c r="G91" s="3" t="s">
        <v>1090</v>
      </c>
      <c r="H91" s="3" t="s">
        <v>1091</v>
      </c>
      <c r="I91" s="3" t="s">
        <v>1092</v>
      </c>
      <c r="J91" s="17" t="s">
        <v>16</v>
      </c>
      <c r="K91" s="3" t="s">
        <v>1093</v>
      </c>
      <c r="L91" s="3" t="s">
        <v>1094</v>
      </c>
      <c r="M91" s="13" t="n">
        <v>46197</v>
      </c>
      <c r="N91" s="14" t="n">
        <f aca="false">IF(M91="","",M91-'Read Me'!$B$30)</f>
        <v>-122</v>
      </c>
      <c r="O91" s="3" t="s">
        <v>1095</v>
      </c>
      <c r="P91" s="3" t="s">
        <v>75</v>
      </c>
      <c r="Q91" s="3" t="s">
        <v>75</v>
      </c>
      <c r="R91" s="3" t="s">
        <v>1096</v>
      </c>
      <c r="S91" s="3" t="s">
        <v>1097</v>
      </c>
      <c r="T91" s="3" t="s">
        <v>75</v>
      </c>
      <c r="U91" s="3" t="s">
        <v>75</v>
      </c>
      <c r="V91" s="3" t="s">
        <v>1098</v>
      </c>
      <c r="W91" s="15" t="s">
        <v>1099</v>
      </c>
      <c r="X91" s="15" t="s">
        <v>1086</v>
      </c>
      <c r="Y91" s="3"/>
      <c r="Z91" s="3"/>
      <c r="AA91" s="3" t="s">
        <v>159</v>
      </c>
      <c r="AB91" s="13" t="n">
        <v>46319</v>
      </c>
    </row>
    <row r="92" customFormat="false" ht="68.65" hidden="false" customHeight="false" outlineLevel="0" collapsed="false">
      <c r="A92" s="3" t="s">
        <v>1100</v>
      </c>
      <c r="B92" s="3" t="s">
        <v>1101</v>
      </c>
      <c r="C92" s="3" t="s">
        <v>380</v>
      </c>
      <c r="D92" s="3" t="s">
        <v>381</v>
      </c>
      <c r="E92" s="3" t="s">
        <v>18</v>
      </c>
      <c r="F92" s="3" t="s">
        <v>382</v>
      </c>
      <c r="G92" s="3" t="s">
        <v>382</v>
      </c>
      <c r="H92" s="3" t="s">
        <v>382</v>
      </c>
      <c r="I92" s="3" t="s">
        <v>382</v>
      </c>
      <c r="J92" s="12" t="s">
        <v>18</v>
      </c>
      <c r="K92" s="3" t="s">
        <v>382</v>
      </c>
      <c r="L92" s="3" t="s">
        <v>382</v>
      </c>
      <c r="M92" s="13"/>
      <c r="N92" s="14" t="str">
        <f aca="false">IF(M92="","",M92-'Read Me'!$B$30)</f>
        <v/>
      </c>
      <c r="O92" s="3" t="s">
        <v>382</v>
      </c>
      <c r="P92" s="3" t="s">
        <v>382</v>
      </c>
      <c r="Q92" s="3" t="s">
        <v>382</v>
      </c>
      <c r="R92" s="3" t="s">
        <v>382</v>
      </c>
      <c r="S92" s="3" t="s">
        <v>382</v>
      </c>
      <c r="T92" s="3" t="s">
        <v>382</v>
      </c>
      <c r="U92" s="3" t="s">
        <v>382</v>
      </c>
      <c r="V92" s="3" t="s">
        <v>1102</v>
      </c>
      <c r="W92" s="15" t="s">
        <v>1103</v>
      </c>
      <c r="X92" s="3"/>
      <c r="Y92" s="3"/>
      <c r="Z92" s="3"/>
      <c r="AA92" s="3" t="s">
        <v>80</v>
      </c>
      <c r="AB92" s="13" t="n">
        <v>46319</v>
      </c>
    </row>
    <row r="93" customFormat="false" ht="46.25" hidden="false" customHeight="false" outlineLevel="0" collapsed="false">
      <c r="A93" s="3" t="s">
        <v>1104</v>
      </c>
      <c r="B93" s="3" t="s">
        <v>1105</v>
      </c>
      <c r="C93" s="3" t="s">
        <v>380</v>
      </c>
      <c r="D93" s="3" t="s">
        <v>381</v>
      </c>
      <c r="E93" s="3" t="s">
        <v>18</v>
      </c>
      <c r="F93" s="3" t="s">
        <v>382</v>
      </c>
      <c r="G93" s="3" t="s">
        <v>382</v>
      </c>
      <c r="H93" s="3" t="s">
        <v>382</v>
      </c>
      <c r="I93" s="3" t="s">
        <v>382</v>
      </c>
      <c r="J93" s="12" t="s">
        <v>18</v>
      </c>
      <c r="K93" s="3" t="s">
        <v>382</v>
      </c>
      <c r="L93" s="3" t="s">
        <v>382</v>
      </c>
      <c r="M93" s="13"/>
      <c r="N93" s="14" t="str">
        <f aca="false">IF(M93="","",M93-'Read Me'!$B$30)</f>
        <v/>
      </c>
      <c r="O93" s="3" t="s">
        <v>382</v>
      </c>
      <c r="P93" s="3" t="s">
        <v>382</v>
      </c>
      <c r="Q93" s="3" t="s">
        <v>382</v>
      </c>
      <c r="R93" s="3" t="s">
        <v>382</v>
      </c>
      <c r="S93" s="3" t="s">
        <v>382</v>
      </c>
      <c r="T93" s="3" t="s">
        <v>382</v>
      </c>
      <c r="U93" s="3" t="s">
        <v>382</v>
      </c>
      <c r="V93" s="3" t="s">
        <v>1106</v>
      </c>
      <c r="W93" s="15" t="s">
        <v>1107</v>
      </c>
      <c r="X93" s="3"/>
      <c r="Y93" s="3"/>
      <c r="Z93" s="3"/>
      <c r="AA93" s="3" t="s">
        <v>80</v>
      </c>
      <c r="AB93" s="13" t="n">
        <v>46319</v>
      </c>
    </row>
    <row r="94" customFormat="false" ht="68.65" hidden="false" customHeight="false" outlineLevel="0" collapsed="false">
      <c r="A94" s="3" t="s">
        <v>1108</v>
      </c>
      <c r="B94" s="3" t="s">
        <v>1109</v>
      </c>
      <c r="C94" s="3" t="s">
        <v>111</v>
      </c>
      <c r="D94" s="3" t="s">
        <v>71</v>
      </c>
      <c r="E94" s="3" t="s">
        <v>1110</v>
      </c>
      <c r="F94" s="3" t="s">
        <v>1111</v>
      </c>
      <c r="G94" s="3" t="s">
        <v>1112</v>
      </c>
      <c r="H94" s="3" t="s">
        <v>1113</v>
      </c>
      <c r="I94" s="3" t="s">
        <v>75</v>
      </c>
      <c r="J94" s="17" t="s">
        <v>16</v>
      </c>
      <c r="K94" s="3" t="s">
        <v>1114</v>
      </c>
      <c r="L94" s="3" t="s">
        <v>1115</v>
      </c>
      <c r="M94" s="13" t="n">
        <v>46280</v>
      </c>
      <c r="N94" s="14" t="n">
        <f aca="false">IF(M94="","",M94-'Read Me'!$B$30)</f>
        <v>-39</v>
      </c>
      <c r="O94" s="3" t="s">
        <v>1116</v>
      </c>
      <c r="P94" s="3" t="s">
        <v>75</v>
      </c>
      <c r="Q94" s="3" t="s">
        <v>75</v>
      </c>
      <c r="R94" s="3" t="s">
        <v>75</v>
      </c>
      <c r="S94" s="3" t="s">
        <v>1117</v>
      </c>
      <c r="T94" s="3" t="s">
        <v>75</v>
      </c>
      <c r="U94" s="3" t="s">
        <v>75</v>
      </c>
      <c r="V94" s="3" t="s">
        <v>1118</v>
      </c>
      <c r="W94" s="15" t="s">
        <v>1119</v>
      </c>
      <c r="X94" s="3"/>
      <c r="Y94" s="3"/>
      <c r="Z94" s="3"/>
      <c r="AA94" s="3" t="s">
        <v>89</v>
      </c>
      <c r="AB94" s="13" t="n">
        <v>46319</v>
      </c>
    </row>
    <row r="95" customFormat="false" ht="68.65" hidden="false" customHeight="false" outlineLevel="0" collapsed="false">
      <c r="A95" s="3" t="s">
        <v>1120</v>
      </c>
      <c r="B95" s="3" t="s">
        <v>1121</v>
      </c>
      <c r="C95" s="3" t="s">
        <v>380</v>
      </c>
      <c r="D95" s="3" t="s">
        <v>1122</v>
      </c>
      <c r="E95" s="3" t="s">
        <v>1123</v>
      </c>
      <c r="F95" s="3" t="s">
        <v>1124</v>
      </c>
      <c r="G95" s="3" t="s">
        <v>1125</v>
      </c>
      <c r="H95" s="3" t="s">
        <v>1126</v>
      </c>
      <c r="I95" s="3" t="s">
        <v>75</v>
      </c>
      <c r="J95" s="16" t="s">
        <v>14</v>
      </c>
      <c r="K95" s="3" t="s">
        <v>1127</v>
      </c>
      <c r="L95" s="3" t="s">
        <v>1128</v>
      </c>
      <c r="M95" s="13"/>
      <c r="N95" s="14" t="str">
        <f aca="false">IF(M95="","",M95-'Read Me'!$B$30)</f>
        <v/>
      </c>
      <c r="O95" s="3" t="s">
        <v>382</v>
      </c>
      <c r="P95" s="3" t="s">
        <v>1129</v>
      </c>
      <c r="Q95" s="3" t="s">
        <v>75</v>
      </c>
      <c r="R95" s="3" t="s">
        <v>75</v>
      </c>
      <c r="S95" s="3" t="s">
        <v>1130</v>
      </c>
      <c r="T95" s="3" t="s">
        <v>1131</v>
      </c>
      <c r="U95" s="15" t="s">
        <v>1132</v>
      </c>
      <c r="V95" s="3" t="s">
        <v>1133</v>
      </c>
      <c r="W95" s="15" t="s">
        <v>1134</v>
      </c>
      <c r="X95" s="15" t="s">
        <v>1135</v>
      </c>
      <c r="Y95" s="3"/>
      <c r="Z95" s="3"/>
      <c r="AA95" s="3" t="s">
        <v>159</v>
      </c>
      <c r="AB95" s="13" t="n">
        <v>46319</v>
      </c>
    </row>
    <row r="96" customFormat="false" ht="79.85" hidden="false" customHeight="false" outlineLevel="0" collapsed="false">
      <c r="A96" s="3" t="s">
        <v>1136</v>
      </c>
      <c r="B96" s="3" t="s">
        <v>1137</v>
      </c>
      <c r="C96" s="3" t="s">
        <v>70</v>
      </c>
      <c r="D96" s="3" t="s">
        <v>71</v>
      </c>
      <c r="E96" s="3" t="s">
        <v>1138</v>
      </c>
      <c r="F96" s="3" t="s">
        <v>1139</v>
      </c>
      <c r="G96" s="3" t="s">
        <v>1140</v>
      </c>
      <c r="H96" s="3" t="s">
        <v>1141</v>
      </c>
      <c r="I96" s="3" t="s">
        <v>75</v>
      </c>
      <c r="J96" s="18" t="s">
        <v>12</v>
      </c>
      <c r="K96" s="3" t="s">
        <v>1142</v>
      </c>
      <c r="L96" s="3" t="s">
        <v>1143</v>
      </c>
      <c r="M96" s="13" t="n">
        <v>46159</v>
      </c>
      <c r="N96" s="14" t="n">
        <f aca="false">IF(M96="","",M96-'Read Me'!$B$30)</f>
        <v>-160</v>
      </c>
      <c r="O96" s="3" t="s">
        <v>1144</v>
      </c>
      <c r="P96" s="3" t="s">
        <v>75</v>
      </c>
      <c r="Q96" s="3" t="s">
        <v>75</v>
      </c>
      <c r="R96" s="3" t="s">
        <v>75</v>
      </c>
      <c r="S96" s="3" t="s">
        <v>1145</v>
      </c>
      <c r="T96" s="3" t="s">
        <v>75</v>
      </c>
      <c r="U96" s="3" t="s">
        <v>75</v>
      </c>
      <c r="V96" s="3" t="s">
        <v>1146</v>
      </c>
      <c r="W96" s="15" t="s">
        <v>1147</v>
      </c>
      <c r="X96" s="15" t="s">
        <v>1148</v>
      </c>
      <c r="Y96" s="15" t="s">
        <v>1149</v>
      </c>
      <c r="Z96" s="3" t="s">
        <v>79</v>
      </c>
      <c r="AA96" s="3" t="s">
        <v>80</v>
      </c>
      <c r="AB96" s="13" t="n">
        <v>46319</v>
      </c>
    </row>
    <row r="97" customFormat="false" ht="68.65" hidden="false" customHeight="false" outlineLevel="0" collapsed="false">
      <c r="A97" s="3" t="s">
        <v>1150</v>
      </c>
      <c r="B97" s="3" t="s">
        <v>1151</v>
      </c>
      <c r="C97" s="3" t="s">
        <v>171</v>
      </c>
      <c r="D97" s="3" t="s">
        <v>71</v>
      </c>
      <c r="E97" s="3" t="s">
        <v>948</v>
      </c>
      <c r="F97" s="3" t="s">
        <v>382</v>
      </c>
      <c r="G97" s="3" t="s">
        <v>382</v>
      </c>
      <c r="H97" s="3" t="s">
        <v>382</v>
      </c>
      <c r="I97" s="3" t="s">
        <v>382</v>
      </c>
      <c r="J97" s="12" t="s">
        <v>18</v>
      </c>
      <c r="K97" s="3" t="s">
        <v>382</v>
      </c>
      <c r="L97" s="3" t="s">
        <v>382</v>
      </c>
      <c r="M97" s="13"/>
      <c r="N97" s="14" t="str">
        <f aca="false">IF(M97="","",M97-'Read Me'!$B$30)</f>
        <v/>
      </c>
      <c r="O97" s="3" t="s">
        <v>382</v>
      </c>
      <c r="P97" s="3" t="s">
        <v>75</v>
      </c>
      <c r="Q97" s="3" t="s">
        <v>75</v>
      </c>
      <c r="R97" s="3" t="s">
        <v>75</v>
      </c>
      <c r="S97" s="3" t="s">
        <v>382</v>
      </c>
      <c r="T97" s="3" t="s">
        <v>382</v>
      </c>
      <c r="U97" s="15" t="s">
        <v>1152</v>
      </c>
      <c r="V97" s="3" t="s">
        <v>1153</v>
      </c>
      <c r="W97" s="15" t="s">
        <v>1152</v>
      </c>
      <c r="X97" s="15" t="s">
        <v>1154</v>
      </c>
      <c r="Y97" s="15" t="s">
        <v>1155</v>
      </c>
      <c r="Z97" s="3"/>
      <c r="AA97" s="3" t="s">
        <v>89</v>
      </c>
      <c r="AB97" s="13" t="n">
        <v>46319</v>
      </c>
    </row>
    <row r="98" customFormat="false" ht="113.4" hidden="false" customHeight="false" outlineLevel="0" collapsed="false">
      <c r="A98" s="3" t="s">
        <v>1156</v>
      </c>
      <c r="B98" s="3" t="s">
        <v>1157</v>
      </c>
      <c r="C98" s="3" t="s">
        <v>589</v>
      </c>
      <c r="D98" s="3" t="s">
        <v>71</v>
      </c>
      <c r="E98" s="3" t="s">
        <v>1158</v>
      </c>
      <c r="F98" s="3" t="s">
        <v>1159</v>
      </c>
      <c r="G98" s="3" t="s">
        <v>1160</v>
      </c>
      <c r="H98" s="3" t="s">
        <v>1161</v>
      </c>
      <c r="I98" s="3" t="s">
        <v>75</v>
      </c>
      <c r="J98" s="18" t="s">
        <v>12</v>
      </c>
      <c r="K98" s="3" t="s">
        <v>1162</v>
      </c>
      <c r="L98" s="3" t="s">
        <v>1163</v>
      </c>
      <c r="M98" s="13" t="n">
        <v>46569</v>
      </c>
      <c r="N98" s="14" t="n">
        <f aca="false">IF(M98="","",M98-'Read Me'!$B$30)</f>
        <v>250</v>
      </c>
      <c r="O98" s="3" t="s">
        <v>1164</v>
      </c>
      <c r="P98" s="3" t="s">
        <v>75</v>
      </c>
      <c r="Q98" s="3" t="s">
        <v>75</v>
      </c>
      <c r="R98" s="3" t="s">
        <v>75</v>
      </c>
      <c r="S98" s="3" t="s">
        <v>1165</v>
      </c>
      <c r="T98" s="3" t="s">
        <v>1166</v>
      </c>
      <c r="U98" s="15" t="s">
        <v>1167</v>
      </c>
      <c r="V98" s="3" t="s">
        <v>1168</v>
      </c>
      <c r="W98" s="15" t="s">
        <v>1169</v>
      </c>
      <c r="X98" s="15" t="s">
        <v>1170</v>
      </c>
      <c r="Y98" s="15" t="s">
        <v>1171</v>
      </c>
      <c r="Z98" s="3"/>
      <c r="AA98" s="3" t="s">
        <v>89</v>
      </c>
      <c r="AB98" s="13" t="n">
        <v>46319</v>
      </c>
    </row>
    <row r="99" customFormat="false" ht="91" hidden="false" customHeight="false" outlineLevel="0" collapsed="false">
      <c r="A99" s="3" t="s">
        <v>1172</v>
      </c>
      <c r="B99" s="3" t="s">
        <v>1157</v>
      </c>
      <c r="C99" s="3" t="s">
        <v>589</v>
      </c>
      <c r="D99" s="3" t="s">
        <v>71</v>
      </c>
      <c r="E99" s="3" t="s">
        <v>1173</v>
      </c>
      <c r="F99" s="3" t="s">
        <v>1174</v>
      </c>
      <c r="G99" s="3" t="s">
        <v>916</v>
      </c>
      <c r="H99" s="3" t="s">
        <v>1175</v>
      </c>
      <c r="I99" s="3" t="s">
        <v>75</v>
      </c>
      <c r="J99" s="18" t="s">
        <v>12</v>
      </c>
      <c r="K99" s="3" t="s">
        <v>1176</v>
      </c>
      <c r="L99" s="3" t="s">
        <v>1177</v>
      </c>
      <c r="M99" s="13"/>
      <c r="N99" s="14" t="str">
        <f aca="false">IF(M99="","",M99-'Read Me'!$B$30)</f>
        <v/>
      </c>
      <c r="O99" s="3" t="s">
        <v>1178</v>
      </c>
      <c r="P99" s="3" t="s">
        <v>75</v>
      </c>
      <c r="Q99" s="3" t="s">
        <v>75</v>
      </c>
      <c r="R99" s="3" t="s">
        <v>75</v>
      </c>
      <c r="S99" s="3" t="s">
        <v>1179</v>
      </c>
      <c r="T99" s="3" t="s">
        <v>75</v>
      </c>
      <c r="U99" s="3" t="s">
        <v>75</v>
      </c>
      <c r="V99" s="3" t="s">
        <v>1180</v>
      </c>
      <c r="W99" s="15" t="s">
        <v>1181</v>
      </c>
      <c r="X99" s="15" t="s">
        <v>1182</v>
      </c>
      <c r="Y99" s="15" t="s">
        <v>1183</v>
      </c>
      <c r="Z99" s="3" t="s">
        <v>1184</v>
      </c>
      <c r="AA99" s="3" t="s">
        <v>89</v>
      </c>
      <c r="AB99" s="13" t="n">
        <v>46319</v>
      </c>
    </row>
    <row r="100" customFormat="false" ht="79.85" hidden="false" customHeight="false" outlineLevel="0" collapsed="false">
      <c r="A100" s="3" t="s">
        <v>1185</v>
      </c>
      <c r="B100" s="3" t="s">
        <v>1157</v>
      </c>
      <c r="C100" s="3" t="s">
        <v>589</v>
      </c>
      <c r="D100" s="3" t="s">
        <v>71</v>
      </c>
      <c r="E100" s="3" t="s">
        <v>1186</v>
      </c>
      <c r="F100" s="3" t="s">
        <v>1187</v>
      </c>
      <c r="G100" s="3" t="s">
        <v>1188</v>
      </c>
      <c r="H100" s="3" t="s">
        <v>1189</v>
      </c>
      <c r="I100" s="3" t="s">
        <v>1190</v>
      </c>
      <c r="J100" s="17" t="s">
        <v>16</v>
      </c>
      <c r="K100" s="3" t="s">
        <v>1191</v>
      </c>
      <c r="L100" s="3" t="s">
        <v>1192</v>
      </c>
      <c r="M100" s="13" t="n">
        <v>46100</v>
      </c>
      <c r="N100" s="14" t="n">
        <f aca="false">IF(M100="","",M100-'Read Me'!$B$30)</f>
        <v>-219</v>
      </c>
      <c r="O100" s="3" t="s">
        <v>1193</v>
      </c>
      <c r="P100" s="3" t="s">
        <v>1194</v>
      </c>
      <c r="Q100" s="3" t="s">
        <v>75</v>
      </c>
      <c r="R100" s="3" t="s">
        <v>1195</v>
      </c>
      <c r="S100" s="3" t="s">
        <v>75</v>
      </c>
      <c r="T100" s="3" t="s">
        <v>75</v>
      </c>
      <c r="U100" s="3" t="s">
        <v>75</v>
      </c>
      <c r="V100" s="3" t="s">
        <v>1196</v>
      </c>
      <c r="W100" s="15" t="s">
        <v>1197</v>
      </c>
      <c r="X100" s="15" t="s">
        <v>1198</v>
      </c>
      <c r="Y100" s="3"/>
      <c r="Z100" s="3"/>
      <c r="AA100" s="3" t="s">
        <v>89</v>
      </c>
      <c r="AB100" s="13" t="n">
        <v>46319</v>
      </c>
    </row>
    <row r="101" customFormat="false" ht="35.05" hidden="false" customHeight="false" outlineLevel="0" collapsed="false">
      <c r="A101" s="3" t="s">
        <v>1199</v>
      </c>
      <c r="B101" s="3" t="s">
        <v>1200</v>
      </c>
      <c r="C101" s="3" t="s">
        <v>171</v>
      </c>
      <c r="D101" s="3" t="s">
        <v>71</v>
      </c>
      <c r="E101" s="3" t="s">
        <v>1201</v>
      </c>
      <c r="F101" s="3" t="s">
        <v>1202</v>
      </c>
      <c r="G101" s="3" t="s">
        <v>1203</v>
      </c>
      <c r="H101" s="3" t="s">
        <v>1204</v>
      </c>
      <c r="I101" s="3" t="s">
        <v>75</v>
      </c>
      <c r="J101" s="17" t="s">
        <v>16</v>
      </c>
      <c r="K101" s="3" t="s">
        <v>1205</v>
      </c>
      <c r="L101" s="3" t="s">
        <v>1206</v>
      </c>
      <c r="M101" s="13" t="n">
        <v>45875</v>
      </c>
      <c r="N101" s="14" t="n">
        <f aca="false">IF(M101="","",M101-'Read Me'!$B$30)</f>
        <v>-444</v>
      </c>
      <c r="O101" s="3" t="s">
        <v>1207</v>
      </c>
      <c r="P101" s="3" t="s">
        <v>75</v>
      </c>
      <c r="Q101" s="3" t="s">
        <v>75</v>
      </c>
      <c r="R101" s="3" t="s">
        <v>75</v>
      </c>
      <c r="S101" s="3" t="s">
        <v>1208</v>
      </c>
      <c r="T101" s="3" t="s">
        <v>75</v>
      </c>
      <c r="U101" s="3" t="s">
        <v>75</v>
      </c>
      <c r="V101" s="3" t="s">
        <v>1209</v>
      </c>
      <c r="W101" s="15" t="s">
        <v>1210</v>
      </c>
      <c r="X101" s="15" t="s">
        <v>1211</v>
      </c>
      <c r="Y101" s="3"/>
      <c r="Z101" s="3"/>
      <c r="AA101" s="3" t="s">
        <v>89</v>
      </c>
      <c r="AB101" s="13" t="n">
        <v>46319</v>
      </c>
    </row>
    <row r="102" customFormat="false" ht="79.85" hidden="false" customHeight="false" outlineLevel="0" collapsed="false">
      <c r="A102" s="3" t="s">
        <v>1212</v>
      </c>
      <c r="B102" s="3" t="s">
        <v>1200</v>
      </c>
      <c r="C102" s="3" t="s">
        <v>171</v>
      </c>
      <c r="D102" s="3" t="s">
        <v>71</v>
      </c>
      <c r="E102" s="3" t="s">
        <v>1213</v>
      </c>
      <c r="F102" s="3" t="s">
        <v>1214</v>
      </c>
      <c r="G102" s="3" t="s">
        <v>1215</v>
      </c>
      <c r="H102" s="3" t="s">
        <v>1216</v>
      </c>
      <c r="I102" s="3" t="s">
        <v>75</v>
      </c>
      <c r="J102" s="17" t="s">
        <v>16</v>
      </c>
      <c r="K102" s="3" t="s">
        <v>1205</v>
      </c>
      <c r="L102" s="3" t="s">
        <v>1217</v>
      </c>
      <c r="M102" s="13" t="n">
        <v>46049</v>
      </c>
      <c r="N102" s="14" t="n">
        <f aca="false">IF(M102="","",M102-'Read Me'!$B$30)</f>
        <v>-270</v>
      </c>
      <c r="O102" s="3" t="s">
        <v>1218</v>
      </c>
      <c r="P102" s="3" t="s">
        <v>75</v>
      </c>
      <c r="Q102" s="3" t="s">
        <v>75</v>
      </c>
      <c r="R102" s="3" t="s">
        <v>75</v>
      </c>
      <c r="S102" s="3" t="s">
        <v>1219</v>
      </c>
      <c r="T102" s="3" t="s">
        <v>75</v>
      </c>
      <c r="U102" s="3" t="s">
        <v>75</v>
      </c>
      <c r="V102" s="3" t="s">
        <v>1220</v>
      </c>
      <c r="W102" s="15" t="s">
        <v>1221</v>
      </c>
      <c r="X102" s="15" t="s">
        <v>1222</v>
      </c>
      <c r="Y102" s="15" t="s">
        <v>1223</v>
      </c>
      <c r="Z102" s="3" t="s">
        <v>1224</v>
      </c>
      <c r="AA102" s="3" t="s">
        <v>89</v>
      </c>
      <c r="AB102" s="13" t="n">
        <v>46319</v>
      </c>
    </row>
    <row r="103" customFormat="false" ht="35.05" hidden="false" customHeight="false" outlineLevel="0" collapsed="false">
      <c r="A103" s="3" t="s">
        <v>1225</v>
      </c>
      <c r="B103" s="3" t="s">
        <v>1200</v>
      </c>
      <c r="C103" s="3" t="s">
        <v>171</v>
      </c>
      <c r="D103" s="3" t="s">
        <v>71</v>
      </c>
      <c r="E103" s="3" t="s">
        <v>1226</v>
      </c>
      <c r="F103" s="3" t="s">
        <v>1227</v>
      </c>
      <c r="G103" s="3" t="s">
        <v>1228</v>
      </c>
      <c r="H103" s="3" t="s">
        <v>1229</v>
      </c>
      <c r="I103" s="3" t="s">
        <v>75</v>
      </c>
      <c r="J103" s="17" t="s">
        <v>16</v>
      </c>
      <c r="K103" s="3" t="s">
        <v>1230</v>
      </c>
      <c r="L103" s="3" t="s">
        <v>1231</v>
      </c>
      <c r="M103" s="13"/>
      <c r="N103" s="14" t="str">
        <f aca="false">IF(M103="","",M103-'Read Me'!$B$30)</f>
        <v/>
      </c>
      <c r="O103" s="3" t="s">
        <v>75</v>
      </c>
      <c r="P103" s="3" t="s">
        <v>75</v>
      </c>
      <c r="Q103" s="3" t="s">
        <v>75</v>
      </c>
      <c r="R103" s="3" t="s">
        <v>75</v>
      </c>
      <c r="S103" s="3" t="s">
        <v>1232</v>
      </c>
      <c r="T103" s="3" t="s">
        <v>75</v>
      </c>
      <c r="U103" s="3" t="s">
        <v>75</v>
      </c>
      <c r="V103" s="3" t="s">
        <v>1233</v>
      </c>
      <c r="W103" s="15" t="s">
        <v>1234</v>
      </c>
      <c r="X103" s="15" t="s">
        <v>1224</v>
      </c>
      <c r="Y103" s="3"/>
      <c r="Z103" s="3"/>
      <c r="AA103" s="3" t="s">
        <v>89</v>
      </c>
      <c r="AB103" s="13" t="n">
        <v>46319</v>
      </c>
    </row>
    <row r="104" customFormat="false" ht="124.6" hidden="false" customHeight="false" outlineLevel="0" collapsed="false">
      <c r="A104" s="3" t="s">
        <v>1235</v>
      </c>
      <c r="B104" s="3" t="s">
        <v>1236</v>
      </c>
      <c r="C104" s="3" t="s">
        <v>83</v>
      </c>
      <c r="D104" s="3" t="s">
        <v>71</v>
      </c>
      <c r="E104" s="3" t="s">
        <v>1237</v>
      </c>
      <c r="F104" s="3" t="s">
        <v>1238</v>
      </c>
      <c r="G104" s="3" t="s">
        <v>1239</v>
      </c>
      <c r="H104" s="3" t="s">
        <v>1240</v>
      </c>
      <c r="I104" s="3" t="s">
        <v>75</v>
      </c>
      <c r="J104" s="16" t="s">
        <v>14</v>
      </c>
      <c r="K104" s="3" t="s">
        <v>1241</v>
      </c>
      <c r="L104" s="3" t="s">
        <v>1242</v>
      </c>
      <c r="M104" s="13" t="n">
        <v>46323</v>
      </c>
      <c r="N104" s="14" t="n">
        <f aca="false">IF(M104="","",M104-'Read Me'!$B$30)</f>
        <v>4</v>
      </c>
      <c r="O104" s="3" t="s">
        <v>75</v>
      </c>
      <c r="P104" s="3" t="s">
        <v>75</v>
      </c>
      <c r="Q104" s="3" t="s">
        <v>75</v>
      </c>
      <c r="R104" s="3" t="s">
        <v>75</v>
      </c>
      <c r="S104" s="3" t="s">
        <v>1243</v>
      </c>
      <c r="T104" s="3" t="s">
        <v>1244</v>
      </c>
      <c r="U104" s="15" t="s">
        <v>1245</v>
      </c>
      <c r="V104" s="3" t="s">
        <v>1246</v>
      </c>
      <c r="W104" s="15" t="s">
        <v>1247</v>
      </c>
      <c r="X104" s="15" t="s">
        <v>1248</v>
      </c>
      <c r="Y104" s="3"/>
      <c r="Z104" s="3"/>
      <c r="AA104" s="3" t="s">
        <v>80</v>
      </c>
      <c r="AB104" s="13" t="n">
        <v>46319</v>
      </c>
    </row>
    <row r="105" customFormat="false" ht="68.65" hidden="false" customHeight="false" outlineLevel="0" collapsed="false">
      <c r="A105" s="3" t="s">
        <v>1249</v>
      </c>
      <c r="B105" s="3" t="s">
        <v>1236</v>
      </c>
      <c r="C105" s="3" t="s">
        <v>83</v>
      </c>
      <c r="D105" s="3" t="s">
        <v>71</v>
      </c>
      <c r="E105" s="3" t="s">
        <v>1250</v>
      </c>
      <c r="F105" s="3" t="s">
        <v>1251</v>
      </c>
      <c r="G105" s="3" t="s">
        <v>1239</v>
      </c>
      <c r="H105" s="3" t="s">
        <v>1252</v>
      </c>
      <c r="I105" s="3" t="s">
        <v>75</v>
      </c>
      <c r="J105" s="16" t="s">
        <v>14</v>
      </c>
      <c r="K105" s="3" t="s">
        <v>1253</v>
      </c>
      <c r="L105" s="3" t="s">
        <v>1254</v>
      </c>
      <c r="M105" s="13" t="n">
        <v>46276</v>
      </c>
      <c r="N105" s="14" t="n">
        <f aca="false">IF(M105="","",M105-'Read Me'!$B$30)</f>
        <v>-43</v>
      </c>
      <c r="O105" s="3" t="s">
        <v>1255</v>
      </c>
      <c r="P105" s="3" t="s">
        <v>75</v>
      </c>
      <c r="Q105" s="3" t="s">
        <v>75</v>
      </c>
      <c r="R105" s="3" t="s">
        <v>75</v>
      </c>
      <c r="S105" s="3" t="s">
        <v>1256</v>
      </c>
      <c r="T105" s="3" t="s">
        <v>1257</v>
      </c>
      <c r="U105" s="15" t="s">
        <v>1245</v>
      </c>
      <c r="V105" s="3" t="s">
        <v>1258</v>
      </c>
      <c r="W105" s="15" t="s">
        <v>1259</v>
      </c>
      <c r="X105" s="15" t="s">
        <v>1260</v>
      </c>
      <c r="Y105" s="15" t="s">
        <v>1261</v>
      </c>
      <c r="Z105" s="3"/>
      <c r="AA105" s="3" t="s">
        <v>80</v>
      </c>
      <c r="AB105" s="13" t="n">
        <v>46319</v>
      </c>
    </row>
    <row r="106" customFormat="false" ht="46.25" hidden="false" customHeight="false" outlineLevel="0" collapsed="false">
      <c r="A106" s="3" t="s">
        <v>1262</v>
      </c>
      <c r="B106" s="3" t="s">
        <v>1236</v>
      </c>
      <c r="C106" s="3" t="s">
        <v>83</v>
      </c>
      <c r="D106" s="3" t="s">
        <v>71</v>
      </c>
      <c r="E106" s="3" t="s">
        <v>1263</v>
      </c>
      <c r="F106" s="3" t="s">
        <v>1264</v>
      </c>
      <c r="G106" s="3" t="s">
        <v>1265</v>
      </c>
      <c r="H106" s="3" t="s">
        <v>1266</v>
      </c>
      <c r="I106" s="3" t="s">
        <v>75</v>
      </c>
      <c r="J106" s="16" t="s">
        <v>14</v>
      </c>
      <c r="K106" s="3" t="s">
        <v>75</v>
      </c>
      <c r="L106" s="3" t="s">
        <v>1267</v>
      </c>
      <c r="M106" s="13"/>
      <c r="N106" s="14" t="str">
        <f aca="false">IF(M106="","",M106-'Read Me'!$B$30)</f>
        <v/>
      </c>
      <c r="O106" s="3" t="s">
        <v>75</v>
      </c>
      <c r="P106" s="3" t="s">
        <v>75</v>
      </c>
      <c r="Q106" s="3" t="s">
        <v>75</v>
      </c>
      <c r="R106" s="3" t="s">
        <v>75</v>
      </c>
      <c r="S106" s="3" t="s">
        <v>1268</v>
      </c>
      <c r="T106" s="3" t="s">
        <v>1269</v>
      </c>
      <c r="U106" s="15" t="s">
        <v>1245</v>
      </c>
      <c r="V106" s="3" t="s">
        <v>1270</v>
      </c>
      <c r="W106" s="15" t="s">
        <v>1271</v>
      </c>
      <c r="X106" s="3"/>
      <c r="Y106" s="3"/>
      <c r="Z106" s="3"/>
      <c r="AA106" s="3" t="s">
        <v>159</v>
      </c>
      <c r="AB106" s="13" t="n">
        <v>46319</v>
      </c>
    </row>
    <row r="107" customFormat="false" ht="46.25" hidden="false" customHeight="false" outlineLevel="0" collapsed="false">
      <c r="A107" s="3" t="s">
        <v>1272</v>
      </c>
      <c r="B107" s="3" t="s">
        <v>1236</v>
      </c>
      <c r="C107" s="3" t="s">
        <v>83</v>
      </c>
      <c r="D107" s="3" t="s">
        <v>71</v>
      </c>
      <c r="E107" s="3" t="s">
        <v>1273</v>
      </c>
      <c r="F107" s="3" t="s">
        <v>1274</v>
      </c>
      <c r="G107" s="3" t="s">
        <v>205</v>
      </c>
      <c r="H107" s="3" t="s">
        <v>1275</v>
      </c>
      <c r="I107" s="3" t="s">
        <v>75</v>
      </c>
      <c r="J107" s="16" t="s">
        <v>14</v>
      </c>
      <c r="K107" s="3" t="s">
        <v>75</v>
      </c>
      <c r="L107" s="3" t="s">
        <v>1267</v>
      </c>
      <c r="M107" s="13"/>
      <c r="N107" s="14" t="str">
        <f aca="false">IF(M107="","",M107-'Read Me'!$B$30)</f>
        <v/>
      </c>
      <c r="O107" s="3" t="s">
        <v>75</v>
      </c>
      <c r="P107" s="3" t="s">
        <v>75</v>
      </c>
      <c r="Q107" s="3" t="s">
        <v>75</v>
      </c>
      <c r="R107" s="3" t="s">
        <v>75</v>
      </c>
      <c r="S107" s="3" t="s">
        <v>1276</v>
      </c>
      <c r="T107" s="3" t="s">
        <v>1269</v>
      </c>
      <c r="U107" s="15" t="s">
        <v>1277</v>
      </c>
      <c r="V107" s="3" t="s">
        <v>1278</v>
      </c>
      <c r="W107" s="15" t="s">
        <v>1279</v>
      </c>
      <c r="X107" s="3"/>
      <c r="Y107" s="3"/>
      <c r="Z107" s="3"/>
      <c r="AA107" s="3" t="s">
        <v>159</v>
      </c>
      <c r="AB107" s="13" t="n">
        <v>46319</v>
      </c>
    </row>
    <row r="108" customFormat="false" ht="102.2" hidden="false" customHeight="false" outlineLevel="0" collapsed="false">
      <c r="A108" s="3" t="s">
        <v>1280</v>
      </c>
      <c r="B108" s="3" t="s">
        <v>1236</v>
      </c>
      <c r="C108" s="3" t="s">
        <v>83</v>
      </c>
      <c r="D108" s="3" t="s">
        <v>71</v>
      </c>
      <c r="E108" s="3" t="s">
        <v>1281</v>
      </c>
      <c r="F108" s="3" t="s">
        <v>1282</v>
      </c>
      <c r="G108" s="3" t="s">
        <v>1283</v>
      </c>
      <c r="H108" s="3" t="s">
        <v>1284</v>
      </c>
      <c r="I108" s="3" t="s">
        <v>75</v>
      </c>
      <c r="J108" s="16" t="s">
        <v>14</v>
      </c>
      <c r="K108" s="3" t="s">
        <v>1285</v>
      </c>
      <c r="L108" s="3" t="s">
        <v>1286</v>
      </c>
      <c r="M108" s="13"/>
      <c r="N108" s="14" t="str">
        <f aca="false">IF(M108="","",M108-'Read Me'!$B$30)</f>
        <v/>
      </c>
      <c r="O108" s="3" t="s">
        <v>75</v>
      </c>
      <c r="P108" s="3" t="s">
        <v>75</v>
      </c>
      <c r="Q108" s="3" t="s">
        <v>75</v>
      </c>
      <c r="R108" s="3" t="s">
        <v>75</v>
      </c>
      <c r="S108" s="3" t="s">
        <v>1287</v>
      </c>
      <c r="T108" s="3" t="s">
        <v>75</v>
      </c>
      <c r="U108" s="3" t="s">
        <v>75</v>
      </c>
      <c r="V108" s="3" t="s">
        <v>1288</v>
      </c>
      <c r="W108" s="15" t="s">
        <v>1289</v>
      </c>
      <c r="X108" s="15" t="s">
        <v>1290</v>
      </c>
      <c r="Y108" s="3"/>
      <c r="Z108" s="3"/>
      <c r="AA108" s="3" t="s">
        <v>89</v>
      </c>
      <c r="AB108" s="13" t="n">
        <v>46319</v>
      </c>
    </row>
    <row r="109" customFormat="false" ht="35.05" hidden="false" customHeight="false" outlineLevel="0" collapsed="false">
      <c r="A109" s="3" t="s">
        <v>1291</v>
      </c>
      <c r="B109" s="3" t="s">
        <v>1236</v>
      </c>
      <c r="C109" s="3" t="s">
        <v>83</v>
      </c>
      <c r="D109" s="3" t="s">
        <v>71</v>
      </c>
      <c r="E109" s="3" t="s">
        <v>1292</v>
      </c>
      <c r="F109" s="3" t="s">
        <v>1293</v>
      </c>
      <c r="G109" s="3" t="s">
        <v>1294</v>
      </c>
      <c r="H109" s="3" t="s">
        <v>75</v>
      </c>
      <c r="I109" s="3" t="s">
        <v>75</v>
      </c>
      <c r="J109" s="17" t="s">
        <v>16</v>
      </c>
      <c r="K109" s="3" t="s">
        <v>1295</v>
      </c>
      <c r="L109" s="3" t="s">
        <v>1296</v>
      </c>
      <c r="M109" s="13" t="n">
        <v>46205</v>
      </c>
      <c r="N109" s="14" t="n">
        <f aca="false">IF(M109="","",M109-'Read Me'!$B$30)</f>
        <v>-114</v>
      </c>
      <c r="O109" s="3" t="s">
        <v>1297</v>
      </c>
      <c r="P109" s="3" t="s">
        <v>75</v>
      </c>
      <c r="Q109" s="3" t="s">
        <v>75</v>
      </c>
      <c r="R109" s="3" t="s">
        <v>75</v>
      </c>
      <c r="S109" s="3" t="s">
        <v>75</v>
      </c>
      <c r="T109" s="3" t="s">
        <v>75</v>
      </c>
      <c r="U109" s="3" t="s">
        <v>75</v>
      </c>
      <c r="V109" s="3" t="s">
        <v>1298</v>
      </c>
      <c r="W109" s="15" t="s">
        <v>1299</v>
      </c>
      <c r="X109" s="15" t="s">
        <v>1300</v>
      </c>
      <c r="Y109" s="3"/>
      <c r="Z109" s="3"/>
      <c r="AA109" s="3" t="s">
        <v>89</v>
      </c>
      <c r="AB109" s="13" t="n">
        <v>46319</v>
      </c>
    </row>
    <row r="110" customFormat="false" ht="35.05" hidden="false" customHeight="false" outlineLevel="0" collapsed="false">
      <c r="A110" s="3" t="s">
        <v>1301</v>
      </c>
      <c r="B110" s="3" t="s">
        <v>1236</v>
      </c>
      <c r="C110" s="3" t="s">
        <v>83</v>
      </c>
      <c r="D110" s="3" t="s">
        <v>71</v>
      </c>
      <c r="E110" s="3" t="s">
        <v>1302</v>
      </c>
      <c r="F110" s="3" t="s">
        <v>1303</v>
      </c>
      <c r="G110" s="3" t="s">
        <v>1304</v>
      </c>
      <c r="H110" s="3" t="s">
        <v>1305</v>
      </c>
      <c r="I110" s="3" t="s">
        <v>75</v>
      </c>
      <c r="J110" s="17" t="s">
        <v>16</v>
      </c>
      <c r="K110" s="3" t="s">
        <v>75</v>
      </c>
      <c r="L110" s="3" t="s">
        <v>1306</v>
      </c>
      <c r="M110" s="13"/>
      <c r="N110" s="14" t="str">
        <f aca="false">IF(M110="","",M110-'Read Me'!$B$30)</f>
        <v/>
      </c>
      <c r="O110" s="3" t="s">
        <v>1307</v>
      </c>
      <c r="P110" s="3" t="s">
        <v>75</v>
      </c>
      <c r="Q110" s="3" t="s">
        <v>75</v>
      </c>
      <c r="R110" s="3" t="s">
        <v>75</v>
      </c>
      <c r="S110" s="3" t="s">
        <v>75</v>
      </c>
      <c r="T110" s="3" t="s">
        <v>75</v>
      </c>
      <c r="U110" s="3" t="s">
        <v>75</v>
      </c>
      <c r="V110" s="3" t="s">
        <v>1308</v>
      </c>
      <c r="W110" s="15" t="s">
        <v>1299</v>
      </c>
      <c r="X110" s="15" t="s">
        <v>1309</v>
      </c>
      <c r="Y110" s="3"/>
      <c r="Z110" s="3"/>
      <c r="AA110" s="3" t="s">
        <v>89</v>
      </c>
      <c r="AB110" s="13" t="n">
        <v>46319</v>
      </c>
    </row>
    <row r="111" customFormat="false" ht="57.45" hidden="false" customHeight="false" outlineLevel="0" collapsed="false">
      <c r="A111" s="3" t="s">
        <v>1310</v>
      </c>
      <c r="B111" s="3" t="s">
        <v>1311</v>
      </c>
      <c r="C111" s="3" t="s">
        <v>380</v>
      </c>
      <c r="D111" s="3" t="s">
        <v>1312</v>
      </c>
      <c r="E111" s="3" t="s">
        <v>1313</v>
      </c>
      <c r="F111" s="3" t="s">
        <v>1314</v>
      </c>
      <c r="G111" s="3" t="s">
        <v>1315</v>
      </c>
      <c r="H111" s="3" t="s">
        <v>1316</v>
      </c>
      <c r="I111" s="3" t="s">
        <v>75</v>
      </c>
      <c r="J111" s="17" t="s">
        <v>16</v>
      </c>
      <c r="K111" s="3" t="s">
        <v>1317</v>
      </c>
      <c r="L111" s="3" t="s">
        <v>1318</v>
      </c>
      <c r="M111" s="13" t="n">
        <v>46238</v>
      </c>
      <c r="N111" s="14" t="n">
        <f aca="false">IF(M111="","",M111-'Read Me'!$B$30)</f>
        <v>-81</v>
      </c>
      <c r="O111" s="3" t="s">
        <v>1319</v>
      </c>
      <c r="P111" s="3" t="s">
        <v>75</v>
      </c>
      <c r="Q111" s="3" t="s">
        <v>75</v>
      </c>
      <c r="R111" s="3" t="s">
        <v>75</v>
      </c>
      <c r="S111" s="3" t="s">
        <v>1320</v>
      </c>
      <c r="T111" s="3" t="s">
        <v>75</v>
      </c>
      <c r="U111" s="3" t="s">
        <v>75</v>
      </c>
      <c r="V111" s="3" t="s">
        <v>1321</v>
      </c>
      <c r="W111" s="15" t="s">
        <v>1322</v>
      </c>
      <c r="X111" s="15" t="s">
        <v>1323</v>
      </c>
      <c r="Y111" s="3"/>
      <c r="Z111" s="3"/>
      <c r="AA111" s="3" t="s">
        <v>159</v>
      </c>
      <c r="AB111" s="13" t="n">
        <v>46319</v>
      </c>
    </row>
    <row r="112" customFormat="false" ht="35.05" hidden="false" customHeight="false" outlineLevel="0" collapsed="false">
      <c r="A112" s="3" t="s">
        <v>1324</v>
      </c>
      <c r="B112" s="3" t="s">
        <v>1325</v>
      </c>
      <c r="C112" s="3" t="s">
        <v>380</v>
      </c>
      <c r="D112" s="3" t="s">
        <v>381</v>
      </c>
      <c r="E112" s="3" t="s">
        <v>18</v>
      </c>
      <c r="F112" s="3" t="s">
        <v>382</v>
      </c>
      <c r="G112" s="3" t="s">
        <v>382</v>
      </c>
      <c r="H112" s="3" t="s">
        <v>382</v>
      </c>
      <c r="I112" s="3" t="s">
        <v>382</v>
      </c>
      <c r="J112" s="12" t="s">
        <v>18</v>
      </c>
      <c r="K112" s="3" t="s">
        <v>382</v>
      </c>
      <c r="L112" s="3" t="s">
        <v>382</v>
      </c>
      <c r="M112" s="13"/>
      <c r="N112" s="14" t="str">
        <f aca="false">IF(M112="","",M112-'Read Me'!$B$30)</f>
        <v/>
      </c>
      <c r="O112" s="3" t="s">
        <v>382</v>
      </c>
      <c r="P112" s="3" t="s">
        <v>382</v>
      </c>
      <c r="Q112" s="3" t="s">
        <v>382</v>
      </c>
      <c r="R112" s="3" t="s">
        <v>382</v>
      </c>
      <c r="S112" s="3" t="s">
        <v>382</v>
      </c>
      <c r="T112" s="3" t="s">
        <v>382</v>
      </c>
      <c r="U112" s="3" t="s">
        <v>382</v>
      </c>
      <c r="V112" s="3" t="s">
        <v>1326</v>
      </c>
      <c r="W112" s="3"/>
      <c r="X112" s="3"/>
      <c r="Y112" s="3"/>
      <c r="Z112" s="3"/>
      <c r="AA112" s="3" t="s">
        <v>80</v>
      </c>
      <c r="AB112" s="13" t="n">
        <v>46319</v>
      </c>
    </row>
    <row r="113" customFormat="false" ht="35.05" hidden="false" customHeight="false" outlineLevel="0" collapsed="false">
      <c r="A113" s="3" t="s">
        <v>1327</v>
      </c>
      <c r="B113" s="3" t="s">
        <v>1328</v>
      </c>
      <c r="C113" s="3" t="s">
        <v>70</v>
      </c>
      <c r="D113" s="3" t="s">
        <v>71</v>
      </c>
      <c r="E113" s="3" t="s">
        <v>72</v>
      </c>
      <c r="F113" s="3" t="s">
        <v>1329</v>
      </c>
      <c r="G113" s="3" t="s">
        <v>74</v>
      </c>
      <c r="H113" s="3" t="s">
        <v>75</v>
      </c>
      <c r="I113" s="3" t="s">
        <v>75</v>
      </c>
      <c r="J113" s="12" t="s">
        <v>18</v>
      </c>
      <c r="K113" s="3" t="s">
        <v>1330</v>
      </c>
      <c r="L113" s="3" t="s">
        <v>1331</v>
      </c>
      <c r="M113" s="13" t="n">
        <v>46145</v>
      </c>
      <c r="N113" s="14" t="n">
        <f aca="false">IF(M113="","",M113-'Read Me'!$B$30)</f>
        <v>-174</v>
      </c>
      <c r="O113" s="3" t="s">
        <v>75</v>
      </c>
      <c r="P113" s="3" t="s">
        <v>75</v>
      </c>
      <c r="Q113" s="3" t="s">
        <v>75</v>
      </c>
      <c r="R113" s="3" t="s">
        <v>75</v>
      </c>
      <c r="S113" s="3" t="s">
        <v>75</v>
      </c>
      <c r="T113" s="3" t="s">
        <v>75</v>
      </c>
      <c r="U113" s="3" t="s">
        <v>75</v>
      </c>
      <c r="V113" s="3" t="s">
        <v>1332</v>
      </c>
      <c r="W113" s="15" t="s">
        <v>79</v>
      </c>
      <c r="X113" s="3"/>
      <c r="Y113" s="3"/>
      <c r="Z113" s="3"/>
      <c r="AA113" s="3" t="s">
        <v>80</v>
      </c>
      <c r="AB113" s="13" t="n">
        <v>46319</v>
      </c>
    </row>
    <row r="114" customFormat="false" ht="102.2" hidden="false" customHeight="false" outlineLevel="0" collapsed="false">
      <c r="A114" s="3" t="s">
        <v>1333</v>
      </c>
      <c r="B114" s="3" t="s">
        <v>1334</v>
      </c>
      <c r="C114" s="3" t="s">
        <v>171</v>
      </c>
      <c r="D114" s="3" t="s">
        <v>71</v>
      </c>
      <c r="E114" s="3" t="s">
        <v>1335</v>
      </c>
      <c r="F114" s="3" t="s">
        <v>1336</v>
      </c>
      <c r="G114" s="3" t="s">
        <v>1337</v>
      </c>
      <c r="H114" s="3" t="s">
        <v>1338</v>
      </c>
      <c r="I114" s="3" t="s">
        <v>75</v>
      </c>
      <c r="J114" s="18" t="s">
        <v>12</v>
      </c>
      <c r="K114" s="3" t="s">
        <v>1339</v>
      </c>
      <c r="L114" s="3" t="s">
        <v>1340</v>
      </c>
      <c r="M114" s="13" t="n">
        <v>46147</v>
      </c>
      <c r="N114" s="14" t="n">
        <f aca="false">IF(M114="","",M114-'Read Me'!$B$30)</f>
        <v>-172</v>
      </c>
      <c r="O114" s="3" t="s">
        <v>75</v>
      </c>
      <c r="P114" s="3" t="s">
        <v>75</v>
      </c>
      <c r="Q114" s="3" t="s">
        <v>75</v>
      </c>
      <c r="R114" s="3" t="s">
        <v>75</v>
      </c>
      <c r="S114" s="3" t="s">
        <v>1341</v>
      </c>
      <c r="T114" s="3" t="s">
        <v>75</v>
      </c>
      <c r="U114" s="3" t="s">
        <v>75</v>
      </c>
      <c r="V114" s="3" t="s">
        <v>1342</v>
      </c>
      <c r="W114" s="15" t="s">
        <v>1343</v>
      </c>
      <c r="X114" s="15" t="s">
        <v>1344</v>
      </c>
      <c r="Y114" s="15" t="s">
        <v>1345</v>
      </c>
      <c r="Z114" s="3"/>
      <c r="AA114" s="3" t="s">
        <v>89</v>
      </c>
      <c r="AB114" s="13" t="n">
        <v>46319</v>
      </c>
    </row>
    <row r="115" customFormat="false" ht="35.05" hidden="false" customHeight="false" outlineLevel="0" collapsed="false">
      <c r="A115" s="3" t="s">
        <v>1346</v>
      </c>
      <c r="B115" s="3" t="s">
        <v>1334</v>
      </c>
      <c r="C115" s="3" t="s">
        <v>171</v>
      </c>
      <c r="D115" s="3" t="s">
        <v>71</v>
      </c>
      <c r="E115" s="3" t="s">
        <v>1347</v>
      </c>
      <c r="F115" s="3" t="s">
        <v>1348</v>
      </c>
      <c r="G115" s="3" t="s">
        <v>1349</v>
      </c>
      <c r="H115" s="3" t="s">
        <v>1350</v>
      </c>
      <c r="I115" s="3" t="s">
        <v>75</v>
      </c>
      <c r="J115" s="17" t="s">
        <v>16</v>
      </c>
      <c r="K115" s="3" t="s">
        <v>1351</v>
      </c>
      <c r="L115" s="3" t="s">
        <v>1352</v>
      </c>
      <c r="M115" s="13" t="n">
        <v>46202</v>
      </c>
      <c r="N115" s="14" t="n">
        <f aca="false">IF(M115="","",M115-'Read Me'!$B$30)</f>
        <v>-117</v>
      </c>
      <c r="O115" s="3" t="s">
        <v>1353</v>
      </c>
      <c r="P115" s="3" t="s">
        <v>75</v>
      </c>
      <c r="Q115" s="3" t="s">
        <v>75</v>
      </c>
      <c r="R115" s="3" t="s">
        <v>75</v>
      </c>
      <c r="S115" s="3" t="s">
        <v>75</v>
      </c>
      <c r="T115" s="3" t="s">
        <v>75</v>
      </c>
      <c r="U115" s="3" t="s">
        <v>75</v>
      </c>
      <c r="V115" s="3" t="s">
        <v>1354</v>
      </c>
      <c r="W115" s="15" t="s">
        <v>1355</v>
      </c>
      <c r="X115" s="15" t="s">
        <v>1356</v>
      </c>
      <c r="Y115" s="3"/>
      <c r="Z115" s="3"/>
      <c r="AA115" s="3" t="s">
        <v>89</v>
      </c>
      <c r="AB115" s="13" t="n">
        <v>46319</v>
      </c>
    </row>
    <row r="116" customFormat="false" ht="68.65" hidden="false" customHeight="false" outlineLevel="0" collapsed="false">
      <c r="A116" s="3" t="s">
        <v>1357</v>
      </c>
      <c r="B116" s="3" t="s">
        <v>1334</v>
      </c>
      <c r="C116" s="3" t="s">
        <v>171</v>
      </c>
      <c r="D116" s="3" t="s">
        <v>71</v>
      </c>
      <c r="E116" s="3" t="s">
        <v>1358</v>
      </c>
      <c r="F116" s="3" t="s">
        <v>1359</v>
      </c>
      <c r="G116" s="3" t="s">
        <v>1360</v>
      </c>
      <c r="H116" s="3" t="s">
        <v>1361</v>
      </c>
      <c r="I116" s="3" t="s">
        <v>75</v>
      </c>
      <c r="J116" s="17" t="s">
        <v>16</v>
      </c>
      <c r="K116" s="3" t="s">
        <v>75</v>
      </c>
      <c r="L116" s="3" t="s">
        <v>1362</v>
      </c>
      <c r="M116" s="13" t="n">
        <v>46147</v>
      </c>
      <c r="N116" s="14" t="n">
        <f aca="false">IF(M116="","",M116-'Read Me'!$B$30)</f>
        <v>-172</v>
      </c>
      <c r="O116" s="3" t="s">
        <v>1363</v>
      </c>
      <c r="P116" s="3" t="s">
        <v>75</v>
      </c>
      <c r="Q116" s="3" t="s">
        <v>75</v>
      </c>
      <c r="R116" s="3" t="s">
        <v>75</v>
      </c>
      <c r="S116" s="3" t="s">
        <v>75</v>
      </c>
      <c r="T116" s="3" t="s">
        <v>75</v>
      </c>
      <c r="U116" s="3" t="s">
        <v>75</v>
      </c>
      <c r="V116" s="3" t="s">
        <v>1364</v>
      </c>
      <c r="W116" s="15" t="s">
        <v>1343</v>
      </c>
      <c r="X116" s="15" t="s">
        <v>1344</v>
      </c>
      <c r="Y116" s="3"/>
      <c r="Z116" s="3"/>
      <c r="AA116" s="3" t="s">
        <v>89</v>
      </c>
      <c r="AB116" s="13" t="n">
        <v>46319</v>
      </c>
    </row>
    <row r="117" customFormat="false" ht="102.2" hidden="false" customHeight="false" outlineLevel="0" collapsed="false">
      <c r="A117" s="3" t="s">
        <v>1365</v>
      </c>
      <c r="B117" s="3" t="s">
        <v>1366</v>
      </c>
      <c r="C117" s="3" t="s">
        <v>651</v>
      </c>
      <c r="D117" s="3" t="s">
        <v>1367</v>
      </c>
      <c r="E117" s="3" t="s">
        <v>1368</v>
      </c>
      <c r="F117" s="3" t="s">
        <v>1369</v>
      </c>
      <c r="G117" s="3" t="s">
        <v>1370</v>
      </c>
      <c r="H117" s="3" t="s">
        <v>1371</v>
      </c>
      <c r="I117" s="3" t="s">
        <v>274</v>
      </c>
      <c r="J117" s="17" t="s">
        <v>16</v>
      </c>
      <c r="K117" s="3" t="s">
        <v>1372</v>
      </c>
      <c r="L117" s="3" t="s">
        <v>1373</v>
      </c>
      <c r="M117" s="13" t="n">
        <v>46283</v>
      </c>
      <c r="N117" s="14" t="n">
        <f aca="false">IF(M117="","",M117-'Read Me'!$B$30)</f>
        <v>-36</v>
      </c>
      <c r="O117" s="3" t="s">
        <v>1374</v>
      </c>
      <c r="P117" s="3" t="s">
        <v>1375</v>
      </c>
      <c r="Q117" s="15" t="s">
        <v>1376</v>
      </c>
      <c r="R117" s="3" t="s">
        <v>1377</v>
      </c>
      <c r="S117" s="3" t="s">
        <v>1378</v>
      </c>
      <c r="T117" s="3" t="s">
        <v>75</v>
      </c>
      <c r="U117" s="3" t="s">
        <v>75</v>
      </c>
      <c r="V117" s="3" t="s">
        <v>1379</v>
      </c>
      <c r="W117" s="15" t="s">
        <v>1376</v>
      </c>
      <c r="X117" s="15" t="s">
        <v>1380</v>
      </c>
      <c r="Y117" s="15" t="s">
        <v>1381</v>
      </c>
      <c r="Z117" s="3" t="s">
        <v>1382</v>
      </c>
      <c r="AA117" s="3" t="s">
        <v>159</v>
      </c>
      <c r="AB117" s="13" t="n">
        <v>46319</v>
      </c>
    </row>
    <row r="118" customFormat="false" ht="68.65" hidden="false" customHeight="false" outlineLevel="0" collapsed="false">
      <c r="A118" s="3" t="s">
        <v>1383</v>
      </c>
      <c r="B118" s="3" t="s">
        <v>1384</v>
      </c>
      <c r="C118" s="3" t="s">
        <v>171</v>
      </c>
      <c r="D118" s="3" t="s">
        <v>1385</v>
      </c>
      <c r="E118" s="3" t="s">
        <v>1386</v>
      </c>
      <c r="F118" s="3" t="s">
        <v>1387</v>
      </c>
      <c r="G118" s="3" t="s">
        <v>1388</v>
      </c>
      <c r="H118" s="3" t="s">
        <v>1389</v>
      </c>
      <c r="I118" s="3" t="s">
        <v>1390</v>
      </c>
      <c r="J118" s="18" t="s">
        <v>12</v>
      </c>
      <c r="K118" s="3" t="s">
        <v>1391</v>
      </c>
      <c r="L118" s="3" t="s">
        <v>1392</v>
      </c>
      <c r="M118" s="13" t="n">
        <v>46297</v>
      </c>
      <c r="N118" s="14" t="n">
        <f aca="false">IF(M118="","",M118-'Read Me'!$B$30)</f>
        <v>-22</v>
      </c>
      <c r="O118" s="3" t="s">
        <v>75</v>
      </c>
      <c r="P118" s="3" t="s">
        <v>75</v>
      </c>
      <c r="Q118" s="3" t="s">
        <v>75</v>
      </c>
      <c r="R118" s="3" t="s">
        <v>1393</v>
      </c>
      <c r="S118" s="3" t="s">
        <v>1394</v>
      </c>
      <c r="T118" s="3" t="s">
        <v>75</v>
      </c>
      <c r="U118" s="3" t="s">
        <v>1395</v>
      </c>
      <c r="V118" s="3" t="s">
        <v>1396</v>
      </c>
      <c r="W118" s="15" t="s">
        <v>1397</v>
      </c>
      <c r="X118" s="15" t="s">
        <v>1398</v>
      </c>
      <c r="Y118" s="15" t="s">
        <v>1399</v>
      </c>
      <c r="Z118" s="3" t="s">
        <v>1400</v>
      </c>
      <c r="AA118" s="3" t="s">
        <v>80</v>
      </c>
      <c r="AB118" s="13" t="n">
        <v>46319</v>
      </c>
    </row>
    <row r="119" customFormat="false" ht="68.65" hidden="false" customHeight="false" outlineLevel="0" collapsed="false">
      <c r="A119" s="3" t="s">
        <v>1401</v>
      </c>
      <c r="B119" s="3" t="s">
        <v>1384</v>
      </c>
      <c r="C119" s="3" t="s">
        <v>651</v>
      </c>
      <c r="D119" s="3" t="s">
        <v>1402</v>
      </c>
      <c r="E119" s="3" t="s">
        <v>1403</v>
      </c>
      <c r="F119" s="3" t="s">
        <v>1404</v>
      </c>
      <c r="G119" s="3" t="s">
        <v>152</v>
      </c>
      <c r="H119" s="3" t="s">
        <v>1405</v>
      </c>
      <c r="I119" s="3" t="s">
        <v>75</v>
      </c>
      <c r="J119" s="18" t="s">
        <v>12</v>
      </c>
      <c r="K119" s="3" t="s">
        <v>1406</v>
      </c>
      <c r="L119" s="3" t="s">
        <v>1407</v>
      </c>
      <c r="M119" s="13" t="n">
        <v>46329</v>
      </c>
      <c r="N119" s="14" t="n">
        <f aca="false">IF(M119="","",M119-'Read Me'!$B$30)</f>
        <v>10</v>
      </c>
      <c r="O119" s="3" t="s">
        <v>75</v>
      </c>
      <c r="P119" s="3" t="s">
        <v>75</v>
      </c>
      <c r="Q119" s="3" t="s">
        <v>75</v>
      </c>
      <c r="R119" s="3" t="s">
        <v>75</v>
      </c>
      <c r="S119" s="3" t="s">
        <v>75</v>
      </c>
      <c r="T119" s="3" t="s">
        <v>75</v>
      </c>
      <c r="U119" s="3" t="s">
        <v>75</v>
      </c>
      <c r="V119" s="3" t="s">
        <v>1408</v>
      </c>
      <c r="W119" s="15" t="s">
        <v>896</v>
      </c>
      <c r="X119" s="3"/>
      <c r="Y119" s="3"/>
      <c r="Z119" s="3"/>
      <c r="AA119" s="3" t="s">
        <v>159</v>
      </c>
      <c r="AB119" s="13" t="n">
        <v>46319</v>
      </c>
    </row>
    <row r="120" customFormat="false" ht="68.65" hidden="false" customHeight="false" outlineLevel="0" collapsed="false">
      <c r="A120" s="3" t="s">
        <v>1409</v>
      </c>
      <c r="B120" s="3" t="s">
        <v>1384</v>
      </c>
      <c r="C120" s="3" t="s">
        <v>171</v>
      </c>
      <c r="D120" s="3" t="s">
        <v>1410</v>
      </c>
      <c r="E120" s="3" t="s">
        <v>1411</v>
      </c>
      <c r="F120" s="3" t="s">
        <v>1412</v>
      </c>
      <c r="G120" s="3" t="s">
        <v>1413</v>
      </c>
      <c r="H120" s="3" t="s">
        <v>1414</v>
      </c>
      <c r="I120" s="3" t="s">
        <v>75</v>
      </c>
      <c r="J120" s="17" t="s">
        <v>16</v>
      </c>
      <c r="K120" s="3" t="s">
        <v>1415</v>
      </c>
      <c r="L120" s="3" t="s">
        <v>1416</v>
      </c>
      <c r="M120" s="13" t="n">
        <v>46066</v>
      </c>
      <c r="N120" s="14" t="n">
        <f aca="false">IF(M120="","",M120-'Read Me'!$B$30)</f>
        <v>-253</v>
      </c>
      <c r="O120" s="3" t="s">
        <v>1417</v>
      </c>
      <c r="P120" s="3" t="s">
        <v>75</v>
      </c>
      <c r="Q120" s="3" t="s">
        <v>75</v>
      </c>
      <c r="R120" s="3" t="s">
        <v>75</v>
      </c>
      <c r="S120" s="3" t="s">
        <v>75</v>
      </c>
      <c r="T120" s="3" t="s">
        <v>75</v>
      </c>
      <c r="U120" s="3" t="s">
        <v>1418</v>
      </c>
      <c r="V120" s="3" t="s">
        <v>1419</v>
      </c>
      <c r="W120" s="15" t="s">
        <v>1420</v>
      </c>
      <c r="X120" s="15" t="s">
        <v>1421</v>
      </c>
      <c r="Y120" s="15" t="s">
        <v>1422</v>
      </c>
      <c r="Z120" s="3" t="s">
        <v>1423</v>
      </c>
      <c r="AA120" s="3" t="s">
        <v>80</v>
      </c>
      <c r="AB120" s="13" t="n">
        <v>46319</v>
      </c>
    </row>
    <row r="121" customFormat="false" ht="35.05" hidden="false" customHeight="false" outlineLevel="0" collapsed="false">
      <c r="A121" s="3" t="s">
        <v>1424</v>
      </c>
      <c r="B121" s="3" t="s">
        <v>1425</v>
      </c>
      <c r="C121" s="3" t="s">
        <v>111</v>
      </c>
      <c r="D121" s="3" t="s">
        <v>1426</v>
      </c>
      <c r="E121" s="3" t="s">
        <v>1427</v>
      </c>
      <c r="F121" s="3" t="s">
        <v>1428</v>
      </c>
      <c r="G121" s="3" t="s">
        <v>1429</v>
      </c>
      <c r="H121" s="3" t="s">
        <v>1430</v>
      </c>
      <c r="I121" s="3" t="s">
        <v>75</v>
      </c>
      <c r="J121" s="17" t="s">
        <v>16</v>
      </c>
      <c r="K121" s="3" t="s">
        <v>1431</v>
      </c>
      <c r="L121" s="3" t="s">
        <v>1432</v>
      </c>
      <c r="M121" s="13" t="n">
        <v>46066</v>
      </c>
      <c r="N121" s="14" t="n">
        <f aca="false">IF(M121="","",M121-'Read Me'!$B$30)</f>
        <v>-253</v>
      </c>
      <c r="O121" s="3" t="s">
        <v>1433</v>
      </c>
      <c r="P121" s="3" t="s">
        <v>75</v>
      </c>
      <c r="Q121" s="3" t="s">
        <v>75</v>
      </c>
      <c r="R121" s="3" t="s">
        <v>75</v>
      </c>
      <c r="S121" s="3" t="s">
        <v>1434</v>
      </c>
      <c r="T121" s="3" t="s">
        <v>75</v>
      </c>
      <c r="U121" s="15" t="s">
        <v>1435</v>
      </c>
      <c r="V121" s="3" t="s">
        <v>1436</v>
      </c>
      <c r="W121" s="15" t="s">
        <v>1437</v>
      </c>
      <c r="X121" s="15" t="s">
        <v>1438</v>
      </c>
      <c r="Y121" s="3"/>
      <c r="Z121" s="3"/>
      <c r="AA121" s="3" t="s">
        <v>89</v>
      </c>
      <c r="AB121" s="13" t="n">
        <v>46319</v>
      </c>
    </row>
    <row r="122" customFormat="false" ht="57.45" hidden="false" customHeight="false" outlineLevel="0" collapsed="false">
      <c r="A122" s="3" t="s">
        <v>1439</v>
      </c>
      <c r="B122" s="3" t="s">
        <v>1425</v>
      </c>
      <c r="C122" s="3" t="s">
        <v>111</v>
      </c>
      <c r="D122" s="3" t="s">
        <v>71</v>
      </c>
      <c r="E122" s="3" t="s">
        <v>1440</v>
      </c>
      <c r="F122" s="3" t="s">
        <v>1441</v>
      </c>
      <c r="G122" s="3" t="s">
        <v>1005</v>
      </c>
      <c r="H122" s="3" t="s">
        <v>1442</v>
      </c>
      <c r="I122" s="3" t="s">
        <v>75</v>
      </c>
      <c r="J122" s="17" t="s">
        <v>16</v>
      </c>
      <c r="K122" s="3" t="s">
        <v>75</v>
      </c>
      <c r="L122" s="3" t="s">
        <v>1443</v>
      </c>
      <c r="M122" s="13"/>
      <c r="N122" s="14" t="str">
        <f aca="false">IF(M122="","",M122-'Read Me'!$B$30)</f>
        <v/>
      </c>
      <c r="O122" s="3" t="s">
        <v>1444</v>
      </c>
      <c r="P122" s="3" t="s">
        <v>75</v>
      </c>
      <c r="Q122" s="3" t="s">
        <v>75</v>
      </c>
      <c r="R122" s="3" t="s">
        <v>75</v>
      </c>
      <c r="S122" s="3" t="s">
        <v>75</v>
      </c>
      <c r="T122" s="3" t="s">
        <v>75</v>
      </c>
      <c r="U122" s="3" t="s">
        <v>75</v>
      </c>
      <c r="V122" s="3" t="s">
        <v>1445</v>
      </c>
      <c r="W122" s="15" t="s">
        <v>1446</v>
      </c>
      <c r="X122" s="15" t="s">
        <v>1447</v>
      </c>
      <c r="Y122" s="15" t="s">
        <v>1448</v>
      </c>
      <c r="Z122" s="3"/>
      <c r="AA122" s="3" t="s">
        <v>89</v>
      </c>
      <c r="AB122" s="13" t="n">
        <v>46319</v>
      </c>
    </row>
    <row r="123" customFormat="false" ht="68.65" hidden="false" customHeight="false" outlineLevel="0" collapsed="false">
      <c r="A123" s="3" t="s">
        <v>1449</v>
      </c>
      <c r="B123" s="3" t="s">
        <v>1425</v>
      </c>
      <c r="C123" s="3" t="s">
        <v>111</v>
      </c>
      <c r="D123" s="3" t="s">
        <v>71</v>
      </c>
      <c r="E123" s="3" t="s">
        <v>1450</v>
      </c>
      <c r="F123" s="3" t="s">
        <v>1451</v>
      </c>
      <c r="G123" s="3" t="s">
        <v>1452</v>
      </c>
      <c r="H123" s="3" t="s">
        <v>1453</v>
      </c>
      <c r="I123" s="3" t="s">
        <v>75</v>
      </c>
      <c r="J123" s="17" t="s">
        <v>16</v>
      </c>
      <c r="K123" s="3" t="s">
        <v>1454</v>
      </c>
      <c r="L123" s="3" t="s">
        <v>1455</v>
      </c>
      <c r="M123" s="13" t="n">
        <v>46068</v>
      </c>
      <c r="N123" s="14" t="n">
        <f aca="false">IF(M123="","",M123-'Read Me'!$B$30)</f>
        <v>-251</v>
      </c>
      <c r="O123" s="3" t="s">
        <v>1456</v>
      </c>
      <c r="P123" s="3" t="s">
        <v>75</v>
      </c>
      <c r="Q123" s="3" t="s">
        <v>75</v>
      </c>
      <c r="R123" s="3" t="s">
        <v>75</v>
      </c>
      <c r="S123" s="3" t="s">
        <v>75</v>
      </c>
      <c r="T123" s="3" t="s">
        <v>75</v>
      </c>
      <c r="U123" s="3" t="s">
        <v>75</v>
      </c>
      <c r="V123" s="3" t="s">
        <v>1457</v>
      </c>
      <c r="W123" s="15" t="s">
        <v>1458</v>
      </c>
      <c r="X123" s="15" t="s">
        <v>1446</v>
      </c>
      <c r="Y123" s="3"/>
      <c r="Z123" s="3"/>
      <c r="AA123" s="3" t="s">
        <v>89</v>
      </c>
      <c r="AB123" s="13" t="n">
        <v>46319</v>
      </c>
    </row>
    <row r="124" customFormat="false" ht="35.05" hidden="false" customHeight="false" outlineLevel="0" collapsed="false">
      <c r="A124" s="3" t="s">
        <v>1459</v>
      </c>
      <c r="B124" s="3" t="s">
        <v>1425</v>
      </c>
      <c r="C124" s="3" t="s">
        <v>111</v>
      </c>
      <c r="D124" s="3" t="s">
        <v>1460</v>
      </c>
      <c r="E124" s="3" t="s">
        <v>1461</v>
      </c>
      <c r="F124" s="3" t="s">
        <v>1462</v>
      </c>
      <c r="G124" s="3" t="s">
        <v>357</v>
      </c>
      <c r="H124" s="3" t="s">
        <v>1463</v>
      </c>
      <c r="I124" s="3" t="s">
        <v>359</v>
      </c>
      <c r="J124" s="17" t="s">
        <v>16</v>
      </c>
      <c r="K124" s="3" t="s">
        <v>75</v>
      </c>
      <c r="L124" s="3" t="s">
        <v>75</v>
      </c>
      <c r="M124" s="13"/>
      <c r="N124" s="14" t="str">
        <f aca="false">IF(M124="","",M124-'Read Me'!$B$30)</f>
        <v/>
      </c>
      <c r="O124" s="3" t="s">
        <v>75</v>
      </c>
      <c r="P124" s="3" t="s">
        <v>360</v>
      </c>
      <c r="Q124" s="15" t="s">
        <v>1464</v>
      </c>
      <c r="R124" s="3" t="s">
        <v>75</v>
      </c>
      <c r="S124" s="3" t="s">
        <v>75</v>
      </c>
      <c r="T124" s="3" t="s">
        <v>362</v>
      </c>
      <c r="U124" s="15" t="s">
        <v>363</v>
      </c>
      <c r="V124" s="3" t="s">
        <v>1465</v>
      </c>
      <c r="W124" s="15" t="s">
        <v>1464</v>
      </c>
      <c r="X124" s="15" t="s">
        <v>1466</v>
      </c>
      <c r="Y124" s="15" t="s">
        <v>1467</v>
      </c>
      <c r="Z124" s="3"/>
      <c r="AA124" s="3" t="s">
        <v>89</v>
      </c>
      <c r="AB124" s="13" t="n">
        <v>46319</v>
      </c>
    </row>
    <row r="125" customFormat="false" ht="46.25" hidden="false" customHeight="false" outlineLevel="0" collapsed="false">
      <c r="A125" s="3" t="s">
        <v>1468</v>
      </c>
      <c r="B125" s="3" t="s">
        <v>1469</v>
      </c>
      <c r="C125" s="3" t="s">
        <v>380</v>
      </c>
      <c r="D125" s="3" t="s">
        <v>381</v>
      </c>
      <c r="E125" s="3" t="s">
        <v>18</v>
      </c>
      <c r="F125" s="3" t="s">
        <v>382</v>
      </c>
      <c r="G125" s="3" t="s">
        <v>382</v>
      </c>
      <c r="H125" s="3" t="s">
        <v>382</v>
      </c>
      <c r="I125" s="3" t="s">
        <v>382</v>
      </c>
      <c r="J125" s="12" t="s">
        <v>18</v>
      </c>
      <c r="K125" s="3" t="s">
        <v>382</v>
      </c>
      <c r="L125" s="3" t="s">
        <v>382</v>
      </c>
      <c r="M125" s="13"/>
      <c r="N125" s="14" t="str">
        <f aca="false">IF(M125="","",M125-'Read Me'!$B$30)</f>
        <v/>
      </c>
      <c r="O125" s="3" t="s">
        <v>382</v>
      </c>
      <c r="P125" s="3" t="s">
        <v>382</v>
      </c>
      <c r="Q125" s="3" t="s">
        <v>382</v>
      </c>
      <c r="R125" s="3" t="s">
        <v>382</v>
      </c>
      <c r="S125" s="3" t="s">
        <v>382</v>
      </c>
      <c r="T125" s="3" t="s">
        <v>382</v>
      </c>
      <c r="U125" s="3" t="s">
        <v>382</v>
      </c>
      <c r="V125" s="3" t="s">
        <v>1470</v>
      </c>
      <c r="W125" s="3"/>
      <c r="X125" s="3"/>
      <c r="Y125" s="3"/>
      <c r="Z125" s="3"/>
      <c r="AA125" s="3" t="s">
        <v>80</v>
      </c>
      <c r="AB125" s="13" t="n">
        <v>46319</v>
      </c>
    </row>
    <row r="126" customFormat="false" ht="57.45" hidden="false" customHeight="false" outlineLevel="0" collapsed="false">
      <c r="A126" s="3" t="s">
        <v>1471</v>
      </c>
      <c r="B126" s="3" t="s">
        <v>1472</v>
      </c>
      <c r="C126" s="3" t="s">
        <v>70</v>
      </c>
      <c r="D126" s="3" t="s">
        <v>71</v>
      </c>
      <c r="E126" s="3" t="s">
        <v>72</v>
      </c>
      <c r="F126" s="3" t="s">
        <v>1473</v>
      </c>
      <c r="G126" s="3" t="s">
        <v>74</v>
      </c>
      <c r="H126" s="3" t="s">
        <v>75</v>
      </c>
      <c r="I126" s="3" t="s">
        <v>75</v>
      </c>
      <c r="J126" s="12" t="s">
        <v>18</v>
      </c>
      <c r="K126" s="3" t="s">
        <v>1474</v>
      </c>
      <c r="L126" s="3" t="s">
        <v>1475</v>
      </c>
      <c r="M126" s="13" t="n">
        <v>46189</v>
      </c>
      <c r="N126" s="14" t="n">
        <f aca="false">IF(M126="","",M126-'Read Me'!$B$30)</f>
        <v>-130</v>
      </c>
      <c r="O126" s="3" t="s">
        <v>75</v>
      </c>
      <c r="P126" s="3" t="s">
        <v>75</v>
      </c>
      <c r="Q126" s="3" t="s">
        <v>75</v>
      </c>
      <c r="R126" s="3" t="s">
        <v>75</v>
      </c>
      <c r="S126" s="3" t="s">
        <v>75</v>
      </c>
      <c r="T126" s="3" t="s">
        <v>75</v>
      </c>
      <c r="U126" s="3" t="s">
        <v>75</v>
      </c>
      <c r="V126" s="3" t="s">
        <v>1476</v>
      </c>
      <c r="W126" s="15" t="s">
        <v>79</v>
      </c>
      <c r="X126" s="3"/>
      <c r="Y126" s="3"/>
      <c r="Z126" s="3"/>
      <c r="AA126" s="3" t="s">
        <v>80</v>
      </c>
      <c r="AB126" s="13" t="n">
        <v>46319</v>
      </c>
    </row>
    <row r="127" customFormat="false" ht="79.85" hidden="false" customHeight="false" outlineLevel="0" collapsed="false">
      <c r="A127" s="3" t="s">
        <v>1477</v>
      </c>
      <c r="B127" s="3" t="s">
        <v>1478</v>
      </c>
      <c r="C127" s="3" t="s">
        <v>83</v>
      </c>
      <c r="D127" s="3" t="s">
        <v>71</v>
      </c>
      <c r="E127" s="3" t="s">
        <v>1479</v>
      </c>
      <c r="F127" s="3" t="s">
        <v>1480</v>
      </c>
      <c r="G127" s="3" t="s">
        <v>1481</v>
      </c>
      <c r="H127" s="3" t="s">
        <v>1482</v>
      </c>
      <c r="I127" s="3" t="s">
        <v>1483</v>
      </c>
      <c r="J127" s="16" t="s">
        <v>14</v>
      </c>
      <c r="K127" s="3" t="s">
        <v>1484</v>
      </c>
      <c r="L127" s="3" t="s">
        <v>1485</v>
      </c>
      <c r="M127" s="13"/>
      <c r="N127" s="14" t="str">
        <f aca="false">IF(M127="","",M127-'Read Me'!$B$30)</f>
        <v/>
      </c>
      <c r="O127" s="3" t="s">
        <v>1486</v>
      </c>
      <c r="P127" s="3" t="s">
        <v>1487</v>
      </c>
      <c r="Q127" s="3" t="s">
        <v>75</v>
      </c>
      <c r="R127" s="3" t="s">
        <v>75</v>
      </c>
      <c r="S127" s="3" t="s">
        <v>75</v>
      </c>
      <c r="T127" s="3" t="s">
        <v>1488</v>
      </c>
      <c r="U127" s="15" t="s">
        <v>1489</v>
      </c>
      <c r="V127" s="3" t="s">
        <v>1490</v>
      </c>
      <c r="W127" s="15" t="s">
        <v>1489</v>
      </c>
      <c r="X127" s="3"/>
      <c r="Y127" s="3"/>
      <c r="Z127" s="3"/>
      <c r="AA127" s="3" t="s">
        <v>89</v>
      </c>
      <c r="AB127" s="13" t="n">
        <v>46319</v>
      </c>
    </row>
    <row r="128" customFormat="false" ht="46.25" hidden="false" customHeight="false" outlineLevel="0" collapsed="false">
      <c r="A128" s="3" t="s">
        <v>1491</v>
      </c>
      <c r="B128" s="3" t="s">
        <v>1478</v>
      </c>
      <c r="C128" s="3" t="s">
        <v>83</v>
      </c>
      <c r="D128" s="3" t="s">
        <v>71</v>
      </c>
      <c r="E128" s="3" t="s">
        <v>1492</v>
      </c>
      <c r="F128" s="3" t="s">
        <v>1493</v>
      </c>
      <c r="G128" s="3" t="s">
        <v>1494</v>
      </c>
      <c r="H128" s="3" t="s">
        <v>1495</v>
      </c>
      <c r="I128" s="3" t="s">
        <v>1496</v>
      </c>
      <c r="J128" s="17" t="s">
        <v>16</v>
      </c>
      <c r="K128" s="3" t="s">
        <v>1497</v>
      </c>
      <c r="L128" s="3" t="s">
        <v>1498</v>
      </c>
      <c r="M128" s="13" t="n">
        <v>46024</v>
      </c>
      <c r="N128" s="14" t="n">
        <f aca="false">IF(M128="","",M128-'Read Me'!$B$30)</f>
        <v>-295</v>
      </c>
      <c r="O128" s="3" t="s">
        <v>75</v>
      </c>
      <c r="P128" s="3" t="s">
        <v>75</v>
      </c>
      <c r="Q128" s="3" t="s">
        <v>75</v>
      </c>
      <c r="R128" s="3" t="s">
        <v>75</v>
      </c>
      <c r="S128" s="3" t="s">
        <v>1499</v>
      </c>
      <c r="T128" s="3" t="s">
        <v>75</v>
      </c>
      <c r="U128" s="3" t="s">
        <v>75</v>
      </c>
      <c r="V128" s="3" t="s">
        <v>1500</v>
      </c>
      <c r="W128" s="15" t="s">
        <v>1501</v>
      </c>
      <c r="X128" s="15" t="s">
        <v>1502</v>
      </c>
      <c r="Y128" s="3"/>
      <c r="Z128" s="3"/>
      <c r="AA128" s="3" t="s">
        <v>89</v>
      </c>
      <c r="AB128" s="13" t="n">
        <v>46319</v>
      </c>
    </row>
    <row r="129" customFormat="false" ht="35.05" hidden="false" customHeight="false" outlineLevel="0" collapsed="false">
      <c r="A129" s="3" t="s">
        <v>1503</v>
      </c>
      <c r="B129" s="3" t="s">
        <v>1478</v>
      </c>
      <c r="C129" s="3" t="s">
        <v>83</v>
      </c>
      <c r="D129" s="3" t="s">
        <v>71</v>
      </c>
      <c r="E129" s="3" t="s">
        <v>1504</v>
      </c>
      <c r="F129" s="3" t="s">
        <v>1505</v>
      </c>
      <c r="G129" s="3" t="s">
        <v>1494</v>
      </c>
      <c r="H129" s="3" t="s">
        <v>1495</v>
      </c>
      <c r="I129" s="3" t="s">
        <v>1496</v>
      </c>
      <c r="J129" s="17" t="s">
        <v>16</v>
      </c>
      <c r="K129" s="3" t="s">
        <v>1497</v>
      </c>
      <c r="L129" s="3" t="s">
        <v>1498</v>
      </c>
      <c r="M129" s="13" t="n">
        <v>46024</v>
      </c>
      <c r="N129" s="14" t="n">
        <f aca="false">IF(M129="","",M129-'Read Me'!$B$30)</f>
        <v>-295</v>
      </c>
      <c r="O129" s="3" t="s">
        <v>75</v>
      </c>
      <c r="P129" s="3" t="s">
        <v>75</v>
      </c>
      <c r="Q129" s="3" t="s">
        <v>75</v>
      </c>
      <c r="R129" s="3" t="s">
        <v>75</v>
      </c>
      <c r="S129" s="3" t="s">
        <v>1499</v>
      </c>
      <c r="T129" s="3" t="s">
        <v>75</v>
      </c>
      <c r="U129" s="3" t="s">
        <v>75</v>
      </c>
      <c r="V129" s="3" t="s">
        <v>1506</v>
      </c>
      <c r="W129" s="15" t="s">
        <v>1501</v>
      </c>
      <c r="X129" s="15" t="s">
        <v>1507</v>
      </c>
      <c r="Y129" s="3"/>
      <c r="Z129" s="3"/>
      <c r="AA129" s="3" t="s">
        <v>89</v>
      </c>
      <c r="AB129" s="13" t="n">
        <v>46319</v>
      </c>
    </row>
    <row r="130" customFormat="false" ht="68.65" hidden="false" customHeight="false" outlineLevel="0" collapsed="false">
      <c r="A130" s="3" t="s">
        <v>1508</v>
      </c>
      <c r="B130" s="3" t="s">
        <v>1478</v>
      </c>
      <c r="C130" s="3" t="s">
        <v>83</v>
      </c>
      <c r="D130" s="3" t="s">
        <v>71</v>
      </c>
      <c r="E130" s="3" t="s">
        <v>1509</v>
      </c>
      <c r="F130" s="3" t="s">
        <v>1510</v>
      </c>
      <c r="G130" s="3" t="s">
        <v>1511</v>
      </c>
      <c r="H130" s="3" t="s">
        <v>1512</v>
      </c>
      <c r="I130" s="3" t="s">
        <v>75</v>
      </c>
      <c r="J130" s="17" t="s">
        <v>16</v>
      </c>
      <c r="K130" s="3" t="s">
        <v>1497</v>
      </c>
      <c r="L130" s="3" t="s">
        <v>1513</v>
      </c>
      <c r="M130" s="13" t="n">
        <v>46205</v>
      </c>
      <c r="N130" s="14" t="n">
        <f aca="false">IF(M130="","",M130-'Read Me'!$B$30)</f>
        <v>-114</v>
      </c>
      <c r="O130" s="3" t="s">
        <v>1514</v>
      </c>
      <c r="P130" s="3" t="s">
        <v>75</v>
      </c>
      <c r="Q130" s="3" t="s">
        <v>75</v>
      </c>
      <c r="R130" s="3" t="s">
        <v>75</v>
      </c>
      <c r="S130" s="3" t="s">
        <v>1515</v>
      </c>
      <c r="T130" s="3" t="s">
        <v>75</v>
      </c>
      <c r="U130" s="3" t="s">
        <v>75</v>
      </c>
      <c r="V130" s="3" t="s">
        <v>1516</v>
      </c>
      <c r="W130" s="15" t="s">
        <v>1517</v>
      </c>
      <c r="X130" s="15" t="s">
        <v>1518</v>
      </c>
      <c r="Y130" s="15" t="s">
        <v>1519</v>
      </c>
      <c r="Z130" s="3"/>
      <c r="AA130" s="3" t="s">
        <v>159</v>
      </c>
      <c r="AB130" s="13" t="n">
        <v>46319</v>
      </c>
    </row>
    <row r="131" customFormat="false" ht="68.65" hidden="false" customHeight="false" outlineLevel="0" collapsed="false">
      <c r="A131" s="3" t="s">
        <v>1520</v>
      </c>
      <c r="B131" s="3" t="s">
        <v>1478</v>
      </c>
      <c r="C131" s="3" t="s">
        <v>83</v>
      </c>
      <c r="D131" s="3" t="s">
        <v>71</v>
      </c>
      <c r="E131" s="3" t="s">
        <v>1521</v>
      </c>
      <c r="F131" s="3" t="s">
        <v>1522</v>
      </c>
      <c r="G131" s="3" t="s">
        <v>1523</v>
      </c>
      <c r="H131" s="3" t="s">
        <v>1524</v>
      </c>
      <c r="I131" s="3" t="s">
        <v>75</v>
      </c>
      <c r="J131" s="17" t="s">
        <v>16</v>
      </c>
      <c r="K131" s="3" t="s">
        <v>1525</v>
      </c>
      <c r="L131" s="3" t="s">
        <v>1526</v>
      </c>
      <c r="M131" s="13" t="n">
        <v>46205</v>
      </c>
      <c r="N131" s="14" t="n">
        <f aca="false">IF(M131="","",M131-'Read Me'!$B$30)</f>
        <v>-114</v>
      </c>
      <c r="O131" s="3" t="s">
        <v>1527</v>
      </c>
      <c r="P131" s="3" t="s">
        <v>75</v>
      </c>
      <c r="Q131" s="3" t="s">
        <v>75</v>
      </c>
      <c r="R131" s="3" t="s">
        <v>75</v>
      </c>
      <c r="S131" s="3" t="s">
        <v>1528</v>
      </c>
      <c r="T131" s="3" t="s">
        <v>75</v>
      </c>
      <c r="U131" s="3" t="s">
        <v>75</v>
      </c>
      <c r="V131" s="3" t="s">
        <v>1529</v>
      </c>
      <c r="W131" s="15" t="s">
        <v>1530</v>
      </c>
      <c r="X131" s="15" t="s">
        <v>1531</v>
      </c>
      <c r="Y131" s="15" t="s">
        <v>1532</v>
      </c>
      <c r="Z131" s="3"/>
      <c r="AA131" s="3" t="s">
        <v>89</v>
      </c>
      <c r="AB131" s="13" t="n">
        <v>46319</v>
      </c>
    </row>
    <row r="132" customFormat="false" ht="79.85" hidden="false" customHeight="false" outlineLevel="0" collapsed="false">
      <c r="A132" s="3" t="s">
        <v>1533</v>
      </c>
      <c r="B132" s="3" t="s">
        <v>1478</v>
      </c>
      <c r="C132" s="3" t="s">
        <v>83</v>
      </c>
      <c r="D132" s="3" t="s">
        <v>71</v>
      </c>
      <c r="E132" s="3" t="s">
        <v>1534</v>
      </c>
      <c r="F132" s="3" t="s">
        <v>1535</v>
      </c>
      <c r="G132" s="3" t="s">
        <v>1536</v>
      </c>
      <c r="H132" s="3" t="s">
        <v>1524</v>
      </c>
      <c r="I132" s="3" t="s">
        <v>1537</v>
      </c>
      <c r="J132" s="17" t="s">
        <v>16</v>
      </c>
      <c r="K132" s="3" t="s">
        <v>75</v>
      </c>
      <c r="L132" s="3" t="s">
        <v>1538</v>
      </c>
      <c r="M132" s="13"/>
      <c r="N132" s="14" t="str">
        <f aca="false">IF(M132="","",M132-'Read Me'!$B$30)</f>
        <v/>
      </c>
      <c r="O132" s="3" t="s">
        <v>75</v>
      </c>
      <c r="P132" s="3" t="s">
        <v>75</v>
      </c>
      <c r="Q132" s="3" t="s">
        <v>75</v>
      </c>
      <c r="R132" s="3" t="s">
        <v>1539</v>
      </c>
      <c r="S132" s="3" t="s">
        <v>1540</v>
      </c>
      <c r="T132" s="3" t="s">
        <v>75</v>
      </c>
      <c r="U132" s="3" t="s">
        <v>75</v>
      </c>
      <c r="V132" s="3" t="s">
        <v>1541</v>
      </c>
      <c r="W132" s="15" t="s">
        <v>1542</v>
      </c>
      <c r="X132" s="3"/>
      <c r="Y132" s="3"/>
      <c r="Z132" s="3"/>
      <c r="AA132" s="3" t="s">
        <v>159</v>
      </c>
      <c r="AB132" s="13" t="n">
        <v>46319</v>
      </c>
    </row>
    <row r="133" customFormat="false" ht="35.05" hidden="false" customHeight="false" outlineLevel="0" collapsed="false">
      <c r="A133" s="3" t="s">
        <v>1543</v>
      </c>
      <c r="B133" s="3" t="s">
        <v>1544</v>
      </c>
      <c r="C133" s="3" t="s">
        <v>70</v>
      </c>
      <c r="D133" s="3" t="s">
        <v>71</v>
      </c>
      <c r="E133" s="3" t="s">
        <v>948</v>
      </c>
      <c r="F133" s="3" t="s">
        <v>1545</v>
      </c>
      <c r="G133" s="3" t="s">
        <v>74</v>
      </c>
      <c r="H133" s="3" t="s">
        <v>75</v>
      </c>
      <c r="I133" s="3" t="s">
        <v>75</v>
      </c>
      <c r="J133" s="12" t="s">
        <v>18</v>
      </c>
      <c r="K133" s="3" t="s">
        <v>1546</v>
      </c>
      <c r="L133" s="3" t="s">
        <v>1547</v>
      </c>
      <c r="M133" s="13" t="n">
        <v>46237</v>
      </c>
      <c r="N133" s="14" t="n">
        <f aca="false">IF(M133="","",M133-'Read Me'!$B$30)</f>
        <v>-82</v>
      </c>
      <c r="O133" s="3" t="s">
        <v>75</v>
      </c>
      <c r="P133" s="3" t="s">
        <v>75</v>
      </c>
      <c r="Q133" s="3" t="s">
        <v>75</v>
      </c>
      <c r="R133" s="3" t="s">
        <v>75</v>
      </c>
      <c r="S133" s="3" t="s">
        <v>75</v>
      </c>
      <c r="T133" s="3" t="s">
        <v>75</v>
      </c>
      <c r="U133" s="3" t="s">
        <v>75</v>
      </c>
      <c r="V133" s="3" t="s">
        <v>1548</v>
      </c>
      <c r="W133" s="15" t="s">
        <v>79</v>
      </c>
      <c r="X133" s="3"/>
      <c r="Y133" s="3"/>
      <c r="Z133" s="3"/>
      <c r="AA133" s="3" t="s">
        <v>89</v>
      </c>
      <c r="AB133" s="13" t="n">
        <v>46319</v>
      </c>
    </row>
    <row r="134" customFormat="false" ht="68.65" hidden="false" customHeight="false" outlineLevel="0" collapsed="false">
      <c r="A134" s="3" t="s">
        <v>1549</v>
      </c>
      <c r="B134" s="3" t="s">
        <v>1550</v>
      </c>
      <c r="C134" s="3" t="s">
        <v>651</v>
      </c>
      <c r="D134" s="3" t="s">
        <v>1551</v>
      </c>
      <c r="E134" s="3" t="s">
        <v>1552</v>
      </c>
      <c r="F134" s="3" t="s">
        <v>1553</v>
      </c>
      <c r="G134" s="3" t="s">
        <v>1554</v>
      </c>
      <c r="H134" s="3" t="s">
        <v>1555</v>
      </c>
      <c r="I134" s="3" t="s">
        <v>75</v>
      </c>
      <c r="J134" s="18" t="s">
        <v>12</v>
      </c>
      <c r="K134" s="3" t="s">
        <v>75</v>
      </c>
      <c r="L134" s="3" t="s">
        <v>1556</v>
      </c>
      <c r="M134" s="13"/>
      <c r="N134" s="14" t="str">
        <f aca="false">IF(M134="","",M134-'Read Me'!$B$30)</f>
        <v/>
      </c>
      <c r="O134" s="3" t="s">
        <v>1557</v>
      </c>
      <c r="P134" s="3" t="s">
        <v>75</v>
      </c>
      <c r="Q134" s="3" t="s">
        <v>75</v>
      </c>
      <c r="R134" s="3" t="s">
        <v>75</v>
      </c>
      <c r="S134" s="3" t="s">
        <v>1558</v>
      </c>
      <c r="T134" s="3" t="s">
        <v>75</v>
      </c>
      <c r="U134" s="3" t="s">
        <v>75</v>
      </c>
      <c r="V134" s="3" t="s">
        <v>1559</v>
      </c>
      <c r="W134" s="15" t="s">
        <v>1560</v>
      </c>
      <c r="X134" s="3"/>
      <c r="Y134" s="3"/>
      <c r="Z134" s="3"/>
      <c r="AA134" s="3" t="s">
        <v>159</v>
      </c>
      <c r="AB134" s="13" t="n">
        <v>46319</v>
      </c>
    </row>
    <row r="135" customFormat="false" ht="35.05" hidden="false" customHeight="false" outlineLevel="0" collapsed="false">
      <c r="A135" s="3" t="s">
        <v>1561</v>
      </c>
      <c r="B135" s="3" t="s">
        <v>1562</v>
      </c>
      <c r="C135" s="3" t="s">
        <v>111</v>
      </c>
      <c r="D135" s="3" t="s">
        <v>71</v>
      </c>
      <c r="E135" s="3" t="s">
        <v>1563</v>
      </c>
      <c r="F135" s="3" t="s">
        <v>1564</v>
      </c>
      <c r="G135" s="3" t="s">
        <v>1565</v>
      </c>
      <c r="H135" s="3" t="s">
        <v>1566</v>
      </c>
      <c r="I135" s="3" t="s">
        <v>75</v>
      </c>
      <c r="J135" s="17" t="s">
        <v>16</v>
      </c>
      <c r="K135" s="3" t="s">
        <v>75</v>
      </c>
      <c r="L135" s="3" t="s">
        <v>1567</v>
      </c>
      <c r="M135" s="13"/>
      <c r="N135" s="14" t="str">
        <f aca="false">IF(M135="","",M135-'Read Me'!$B$30)</f>
        <v/>
      </c>
      <c r="O135" s="3" t="s">
        <v>75</v>
      </c>
      <c r="P135" s="3" t="s">
        <v>75</v>
      </c>
      <c r="Q135" s="3" t="s">
        <v>75</v>
      </c>
      <c r="R135" s="3" t="s">
        <v>75</v>
      </c>
      <c r="S135" s="3" t="s">
        <v>1568</v>
      </c>
      <c r="T135" s="3" t="s">
        <v>75</v>
      </c>
      <c r="U135" s="15" t="s">
        <v>1569</v>
      </c>
      <c r="V135" s="3" t="s">
        <v>1570</v>
      </c>
      <c r="W135" s="15" t="s">
        <v>1569</v>
      </c>
      <c r="X135" s="15" t="s">
        <v>1571</v>
      </c>
      <c r="Y135" s="3"/>
      <c r="Z135" s="3"/>
      <c r="AA135" s="3" t="s">
        <v>89</v>
      </c>
      <c r="AB135" s="13" t="n">
        <v>46319</v>
      </c>
    </row>
  </sheetData>
  <hyperlinks>
    <hyperlink ref="W2" r:id="rId1" display="https://ballot-access.org/2026/06/22/june-2026-ballot-access-news-print-edition/"/>
    <hyperlink ref="W3" r:id="rId2" display="https://www.adn.com/politics/2026/10/14/proposed-ballot-initiative-would-require-alaska-federal-state-candidates-to-gather-signatures-before-running-for-office/"/>
    <hyperlink ref="U4" r:id="rId3" display="https://www.elections.alaska.gov/petitions-and-ballot-measures/petition-status/petition_id/gr8j9"/>
    <hyperlink ref="W4" r:id="rId4" display="https://www.elections.alaska.gov/petitions-and-ballot-measures/"/>
    <hyperlink ref="X4" r:id="rId5" display="https://alaskabeacon.com/briefs/ballot-initiative-to-decriminalize-psychedelics-in-alaska-cleared-for-signature-gathering/"/>
    <hyperlink ref="U5" r:id="rId6" display="https://www.elections.alaska.gov/petitions-and-ballot-measures/"/>
    <hyperlink ref="W5" r:id="rId7" display="https://www.elections.alaska.gov/lieutenant-governor-nancy-dahlstrom-certifies-proper-filing-of-ballot-initiative-petition-25uscv/"/>
    <hyperlink ref="X5" r:id="rId8" display="https://www.elections.alaska.gov/petitions-and-ballot-measures/"/>
    <hyperlink ref="U6" r:id="rId9" display="https://www.scottsdaleaz.gov/elections/referendum"/>
    <hyperlink ref="W6" r:id="rId10" display="https://www.abc15.com/news/business/axon-headquarters-referendum-certified-by-city-of-scottsdale"/>
    <hyperlink ref="X6" r:id="rId11" display="https://www.yahoo.com/news/collecting-26-000-signatures-scottsdale-195209122.html"/>
    <hyperlink ref="W7" r:id="rId12" display="https://www.kjzz.org/elections/2026-07-02/arizona-group-drops-petition-to-enshrine-early-voting-in-the-state-constitution"/>
    <hyperlink ref="X7" r:id="rId13" display="https://www.arizonaagenda.com/p/protect-the-vote-s-final-push"/>
    <hyperlink ref="W8" r:id="rId14" display="https://news.ballotpedia.org/2026/07/07/arizona-campaign-submits-421451-signatures-for-initiative-to-limit-empowerment-scholarship-account-eligibility-and-spending/"/>
    <hyperlink ref="W9" r:id="rId15" display="https://www.myheraldreview.com/news/benson/recall-effort-could-oust-benson-mayor-and-4-of-6-council-members/article_c4e47701-9375-4059-90af-f546cb7905ba.amp.html"/>
    <hyperlink ref="X9" r:id="rId16" display="https://www.myheraldreview.com/news/benson/konrad-recall-effort-fell-short-for-common-petition-issues/article_b2a9d91b-bf7d-4406-98cc-26ee613abe78.amp.html"/>
    <hyperlink ref="Q10" r:id="rId17" display="https://careers.arena.run/companies/job-post-2/jobs/68651818-right-size-consulting-canvasser"/>
    <hyperlink ref="W10" r:id="rId18" display="https://careers.arena.run/companies/job-post-2/jobs/68651818-right-size-consulting-canvasser"/>
    <hyperlink ref="W11" r:id="rId19" display="https://news.ballotpedia.org/2026/07/08/signatures-submitted-for-arkansas-initiative-to-prohibit-the-state-legislature-from-amending-or-repealing-constitutional-amendments-and-require-voter-approval-for-changes-to-the-initiative-and-referen/"/>
    <hyperlink ref="X11" r:id="rId20" display="https://arkansasadvocate.com/2025/07/28/arkansas-attorney-general-approves-second-direct-democracy-ballot-title/"/>
    <hyperlink ref="Y11" r:id="rId21" display="https://www.sos.arkansas.gov/elections/initiatives-and-referenda"/>
    <hyperlink ref="W12" r:id="rId22" display="https://www.sos.ca.gov/administration/news-releases-and-advisories/2026-news-releases-and-advisories/proposed-initiative-enters-circulation-repeals-top-two-open-primary-election-process-initiative-constitutional-amendment"/>
    <hyperlink ref="X12" r:id="rId23" display="https://www.kpbs.org/news/politics/2026/07/16/effort-to-repeal-californias-top-two-jungle-primary-system-is-closer-to-qualifying-for-the-2028-ballot"/>
    <hyperlink ref="Y12" r:id="rId24" display="https://ivn.us/more-choice-california-launches-to-defend-nonpartisan-primary-as-democratic-and-republican-operatives-quietly-join-forces-to-repeal-it-2026-05-13/"/>
    <hyperlink ref="W13" r:id="rId25" display="https://www.sos.ca.gov/administration/news-releases-and-advisories/2026-news-releases-and-advisories/california-secretary-state-shirley-n-weber-phd-announces-proposed-initiative-has-entered-circulation-exempts-additional-food-pro"/>
    <hyperlink ref="X13" r:id="rId26" display="https://www.sos.ca.gov/administration/news-releases-and-advisories/2026-news-releases-and-advisories"/>
    <hyperlink ref="Q14" r:id="rId27" display="https://urban-signers-llc.careerplug.com/jobs/3365854"/>
    <hyperlink ref="U14" r:id="rId28" display="https://urban-signers-llc.careerplug.com/jobs/3365854"/>
    <hyperlink ref="W14" r:id="rId29" display="https://urban-signers-llc.careerplug.com/jobs/3365854"/>
    <hyperlink ref="W15" r:id="rId30" display="https://www.sos.ca.gov/administration/news-releases-and-advisories/2026-news-releases-and-advisories/proposed-initiative-enters-circulation-prohibits-use-after-2026-temporary-congressional-district-maps-adopted-voters-2025-respon"/>
    <hyperlink ref="W16" r:id="rId31" display="https://www.sos.ca.gov/administration/news-releases-and-advisories/2026-news-releases-and-advisories/proposed-initiative-enters-circulation-exempts-certain-homeowners-aged-60-or-older-property-taxes-initiative-constitutional-amen"/>
    <hyperlink ref="W17" r:id="rId32" display="https://www.sos.ca.gov/administration/news-releases-and-advisories/2026-news-releases-and-advisories/california-secretary-state-shirley-n-weber-phd-announces-proposed-initiative-has-entered-circulation-changes-ballot-initiative-p"/>
    <hyperlink ref="X17" r:id="rId33" display="https://sos.ca.gov/elections/ballot-measures/initiative-and-referendum-status/initiatives-referenda-cleared-circulation"/>
    <hyperlink ref="W18" r:id="rId34" display="https://www.sos.ca.gov/administration/news-releases-and-advisories/2026-news-releases-and-advisories/california-secretary-state-shirley-n-weber-phd-announces-proposed-initiative-has-entered-circulation-changes-ballot-initiative-p"/>
    <hyperlink ref="X18" r:id="rId35" display="https://www.sos.ca.gov/administration/news-releases-and-advisories/2026-news-releases-and-advisories/california-secretary-state-shirley-n-weber-phd-announces-proposed-initiative-has-entered-circulation"/>
    <hyperlink ref="Y18" r:id="rId36" display="https://sos.ca.gov/elections/ballot-measures/initiative-and-referendum-status/initiatives-referenda-cleared-circulation"/>
    <hyperlink ref="W19" r:id="rId37" display="https://sfstandard.com/2026/03/05/california-ballot-bounties-have-gone-wild/"/>
    <hyperlink ref="Q20" r:id="rId38" display="https://www.theoutreachteam.net/interest-form-tot"/>
    <hyperlink ref="U20" r:id="rId39" display="https://www.theoutreachteam.net"/>
    <hyperlink ref="W20" r:id="rId40" display="https://la2050.org/job/the-outreach-team-petitioners-make-a-difference-dollars-27-dollars-28-hr-bonuses"/>
    <hyperlink ref="W21" r:id="rId41" display="https://timesofsandiego.com/politics/2026/04/05/petition-to-repeal-parking-fees-at-balboa-park-cleared-to-gather-signatures/"/>
    <hyperlink ref="X21" r:id="rId42" display="https://www.10news.com/news/local-news/san-diego-petition-drive-targets-trash-fee-balboa-park-parking-charges-on-mothers-day"/>
    <hyperlink ref="W22" r:id="rId43" display="https://news.ballotpedia.org/2026/10/06/first-initiative-qualifies-for-the-2028-ballot-in-california/"/>
    <hyperlink ref="U23" r:id="rId44" display="https://mayor.coloradosprings.gov/city-clerk/page/candidate-and-campaign-information"/>
    <hyperlink ref="W23" r:id="rId45" display="https://mayor.coloradosprings.gov/city-clerk/page/candidate-and-campaign-information"/>
    <hyperlink ref="X23" r:id="rId46" display="https://www.denvergov.org/files/assets/public/v/1/clerk-and-recorder/documents/elections/guides/2027-municipal-candidate-information-packet-pdf-version.pdf"/>
    <hyperlink ref="U24" r:id="rId47" display="https://protectkidscolorado.org"/>
    <hyperlink ref="W24" r:id="rId48" display="https://coloradotimesrecorder.com/2026/02/activists-now-paying-for-signatures-for-anti-trans-ballot-measures/76656/"/>
    <hyperlink ref="X24" r:id="rId49" display="https://completecolorado.com/2025/09/05/ballot-measures-protecting-kids-signature-gathering/"/>
    <hyperlink ref="Y24" r:id="rId50" display="https://kiowacountypress.net/content/14-measures-will-appear-colorados-statewide-ballot-2026"/>
    <hyperlink ref="W25" r:id="rId51" display="https://news.ballotpedia.org/2026/06/26/signatures-submitted-for-colorado-initiative-for-the-right-to-purchase-and-sell-natural-gas-for-cooking-and-heating-in-homes-or-businesses/"/>
    <hyperlink ref="X25" r:id="rId52" display="https://www.kunc.org/politics/2026-08-21/colorado-ballot-questions-meant-to-keep-special-interests-in-check-are-increasingly-created-by-them"/>
    <hyperlink ref="W26" r:id="rId53" display="https://www.bhfs.com/insight/denvers-2026-ballot-takes-shape-key-initiatives-and-the-at-large-city-council-vacancy-election/"/>
    <hyperlink ref="X26" r:id="rId54" display="https://www.denvergov.org/files/assets/public/v/1/clerk-and-recorder/documents/elections-division/2025/measures/force-feeding-sample-petition-stapled-copy-with-blue-manuscript.pdf"/>
    <hyperlink ref="Q27" r:id="rId55" display="https://landslidepolitical.recruitee.com/o/canvasser-hiring-immediately-denver-metro-area-25hr"/>
    <hyperlink ref="U27" r:id="rId56" display="https://landslidepolitical.recruitee.com"/>
    <hyperlink ref="W27" r:id="rId57" display="https://landslidepolitical.recruitee.com/o/canvasser-hiring-immediately-denver-metro-area-25hr"/>
    <hyperlink ref="X27" r:id="rId58" display="https://landslidepolitical.recruitee.com/o/canvasser-hiring-immediately-colorado-springs-25hr"/>
    <hyperlink ref="Q28" r:id="rId59" display="https://jobs.arena.run/jobs/paid-petition-circulator-reci-b-ea-nzesly5-h-kl/"/>
    <hyperlink ref="W28" r:id="rId60" display="https://jobs.arena.run/jobs/paid-petition-circulator-reci-b-ea-nzesly5-h-kl/"/>
    <hyperlink ref="X28" r:id="rId61" display="https://careers.arena.run/companies/job-post-2/jobs/64551809-killin-for-colorado-paid-petition-circulator"/>
    <hyperlink ref="U31" r:id="rId62" display="https://onefairwage.org/dc"/>
    <hyperlink ref="W31" r:id="rId63" display="https://onefairwage.org/dc"/>
    <hyperlink ref="X31" r:id="rId64" display="https://hoodline.com/2026/07/d-c-wage-war-put-on-ice-after-25-ballot-bid-misses-mark/"/>
    <hyperlink ref="Y31" r:id="rId65" display="https://washingtonian.com/2026/07/17/advocates-of-25-minimum-wage-in-dc-blame-lawsuit-for-ballot-delay/"/>
    <hyperlink ref="U32" r:id="rId66" display="https://dcboe.org/ballot-measures/current-measures"/>
    <hyperlink ref="W32" r:id="rId67" display="https://dcboe.org/ballot-measures/current-measures"/>
    <hyperlink ref="X32" r:id="rId68" display="https://www.dcboe.org/getmedia/b8938d4f-b7c7-4912-8e9a-6287b1783db1/FINAL-Circulating-and-Filing-Initiative-Ref-Measure-Petitions-12152025.pdf"/>
    <hyperlink ref="U33" r:id="rId69" display="https://secure.actblue.com/donate/dcaffordability (committee donation page)"/>
    <hyperlink ref="W33" r:id="rId70" display="https://www.ballardspahr.com/insights/alerts-and-articles/2026/07/july-2026-dc-multifamily-update"/>
    <hyperlink ref="X33" r:id="rId71" display="https://www.ballardspahr.com/insights/alerts-and-articles/2026/09/sept-23-2026-multifamily-client-alert"/>
    <hyperlink ref="Y33" r:id="rId72" display="https://www.credaily.com/?p=222981"/>
    <hyperlink ref="W34" r:id="rId73" display="https://www.popville.com/2026/08/force-fed-foie-gras-prohibition-dc-i86-qualifies-for-nov-ballot/"/>
    <hyperlink ref="Q35" r:id="rId74" display="https://careers.arena.run/companies/the-outreach-team-2/jobs/48573140-petitioner-help-expand-medicaid-in-florida (2025 posting for the 2026 drive; current status unknown)"/>
    <hyperlink ref="U35" r:id="rId75" display="https://floridadecideshealthcare.org"/>
    <hyperlink ref="W35" r:id="rId76" display="https://www.beckerspayer.com/payer/medicaid/florida-medicaid-expansion-campaign-sets-sights-on-2028-ballot/"/>
    <hyperlink ref="X35" r:id="rId77" display="https://floridaphoenix.com/2026/04/30/federal-judge-upholds-floridas-citizen-initiative-restrictions/"/>
    <hyperlink ref="Y35" r:id="rId78" display="https://careers.arena.run/companies/the-outreach-team-2/jobs/48573140-petitioner-help-expand-medicaid-in-florida"/>
    <hyperlink ref="W36" r:id="rId79" display="https://www.votebrevard.gov/Voter-Data-and-Maps/Statistics-and-Data/Initiative-Petition-Totals"/>
    <hyperlink ref="X36" r:id="rId80" display="https://initiativepetitions.dos.fl.gov/InitiativeForms/Volunteer/DSDE155A_999_2506_EN.pdf"/>
    <hyperlink ref="W37" r:id="rId81" display="https://baynews9.com/fl/tampa/news/2026/07/17/fort-meade-recall-committee-submits-petitions-to-remove-city-leaders"/>
    <hyperlink ref="X37" r:id="rId82" display="https://mynews13.com/fl/orlando/news/2026/07/17/fort-meade-recall-committee-submits-petitions-to-remove-city-leaders"/>
    <hyperlink ref="Y37" r:id="rId83" display="https://www.tampabay28.com/news/region-polk/recall-effort-targets-three-fort-meade-city-leaders-after-data-center-approval"/>
    <hyperlink ref="U38" display="https://floridarising.org (coalition member)"/>
    <hyperlink ref="W38" r:id="rId84" display="https://www.wlrn.org/government-politics/2026-02-26/stronger-miami-petition-ballot-miami"/>
    <hyperlink ref="X38" r:id="rId85" display="https://www.wlrn.org/government-politics/2026-02-23/stronger-miami-government-petition-ballot-signatures"/>
    <hyperlink ref="W39" r:id="rId86" display="https://www.cannabisbusinesstimes.com/us-states/florida/news/15836634/florida-may-have-3-options-to-legalize-adultuse-cannabis-in-2028"/>
    <hyperlink ref="W40" r:id="rId87" display="https://www.cannabisbusinesstimes.com/us-states/florida/news/15836634/florida-may-have-3-options-to-legalize-adultuse-cannabis-in-2028"/>
    <hyperlink ref="W41" r:id="rId88" display="https://www.cannabisbusinesstimes.com/us-states/florida/news/15836634/florida-may-have-3-options-to-legalize-adultuse-cannabis-in-2028"/>
    <hyperlink ref="X41" r:id="rId89" display="https://www.orlandoweekly.com/cannabis/trulieve-pours-nearly-20m-into-floridas-latest-recreational-marijuana-effort-39293879/"/>
    <hyperlink ref="Y41" r:id="rId90" display="https://thecapitolist.com/statewide-prosecutors-ask-fdle-to-investigate-petition-circulators-tied-to-marijuana-initiative/"/>
    <hyperlink ref="W42" r:id="rId91" display="https://www.votemonroeflkeys.gov/Candidates-Petitions/Initiative-Petitions"/>
    <hyperlink ref="X42" r:id="rId92" display="https://jaxtoday.org/2026/02/02/constitutional-amendments-florida-failed/"/>
    <hyperlink ref="W43" r:id="rId93" display="https://ballot-access.org/2026/06/22/june-2026-ballot-access-news-print-edition/"/>
    <hyperlink ref="W44" r:id="rId94" display="https://www.sebastiandaily.com/community/supervisor-of-elections-receives-petitions-to-recall-damien-gilliams-pamela-parris-charles-mauti-24478/"/>
    <hyperlink ref="W45" r:id="rId95" display="https://www.wsbtv.com/news/held-higher-standard-group-gathering-signatures-remove-hall-county-sheriff-office/BEOM4VVZIJC5PJTIKPVZ5HHIMU/"/>
    <hyperlink ref="W46" r:id="rId96" display="https://www.civilbeat.org/2026/10/list-hawaiis-2026-charter-and-constitutional-amendments/"/>
    <hyperlink ref="X46" r:id="rId97" display="https://news.ballotpedia.org/?p=51538"/>
    <hyperlink ref="W47" r:id="rId98" display="https://idahocapitalsun.com/2026/04/24/group-seeking-to-end-idahos-abortion-ban-says-its-met-signature-goal-in-19-legislative-districts/"/>
    <hyperlink ref="X47" r:id="rId99" display="https://www.eastidahonews.com/?p=849093"/>
    <hyperlink ref="Y47" r:id="rId100" display="https://newsletters.idahocapitalsun.com/p/initiative-ending-abortion-ban-qualifies-albertsons-trial-begins-cole-reappointed-to-cdh-board"/>
    <hyperlink ref="W48" r:id="rId101" display="https://idahocapitalsun.com/2026/07/14/medical-cannabis-initiative-fails-to-qualify-for-idahos-general-election-ballot/"/>
    <hyperlink ref="X48" r:id="rId102" display="https://www.boisestatepublicradio.org/politics-government/2026-07-15/pot-cannabis-weed-election-november-idaho-citizen-initiative"/>
    <hyperlink ref="U49" r:id="rId103" display="https://app.chicagoelections.gov"/>
    <hyperlink ref="W49" r:id="rId104" display="https://chicago.suntimes.com/elections/2026/10/19/mayor-race-candidates-stacks-nominating-petitions-chicago-board-of-elections"/>
    <hyperlink ref="X49" r:id="rId105" display="https://www.axios.com/local/chicago/2026/10/19/chicago-mayoral-hopefuls-file-petitions-amid-controversy"/>
    <hyperlink ref="Y49" r:id="rId106" display="https://news.wttw.com/node/54511"/>
    <hyperlink ref="U50" r:id="rId107" display="https://www.stclaircountyil.gov"/>
    <hyperlink ref="W50" r:id="rId108" display="https://www.stclaircountyil.gov/webdocuments/departments/countyclerk/2027Resources/2027 Election Calendar FINAL (1).pdf"/>
    <hyperlink ref="Q51" r:id="rId109" display="https://careers.arena.run/companies/job-post-2/jobs/60314310-touchstone-llc-signature-gathering-canvassers-needed-25-30-hour-chicago-il"/>
    <hyperlink ref="W51" r:id="rId110" display="https://careers.arena.run/companies/job-post-2/jobs/60314310-touchstone-llc-signature-gathering-canvassers-needed-25-30-hour-chicago-il"/>
    <hyperlink ref="W52" r:id="rId111" display="https://indianacapitalchronicle.com/briefs/independent-secretary-of-state-hopeful-says-he-has-the-signatures/"/>
    <hyperlink ref="X52" r:id="rId112" display="https://www.newsfromthestates.com/node/426505"/>
    <hyperlink ref="W53" r:id="rId113" display="https://www.minneapolismn.gov/government/boards-and-commissions/charter-commission/amending-the-charter/"/>
    <hyperlink ref="X53" r:id="rId114" display="https://www.kwit.org/podcast/spm-news/2026-02-16/spencer-iowa-residents-force-special-election-for-city-council-post"/>
    <hyperlink ref="W54" r:id="rId115" display="https://www.kshb.com/news/local-news/data-centers/ottawa-commissioners-face-deadline-after-data-center-petition-gains-enough-signatures"/>
    <hyperlink ref="X54" r:id="rId116" display="https://www.kshb.com/news/local-news/data-centers/we-the-people-ottawa-ballot-petition-seeks-ordinance-to-ban-future-data-center-developments"/>
    <hyperlink ref="W55" r:id="rId117" display="https://ballot-access.org/2026/06/22/june-2026-ballot-access-news-print-edition/"/>
    <hyperlink ref="W56" r:id="rId118" display="https://www.ksla.com/2026/05/11/supporters-gather-government-plaza-recall-petition-targets-gov-jeff-landry/"/>
    <hyperlink ref="X56" r:id="rId119" display="https://www.knoe.com/2026/06/10/gov-jeff-landry-attorney-general-liz-murrill-recall-comes-nela/"/>
    <hyperlink ref="U57" r:id="rId120" display="https://www.maine.gov/sos/elections-voting/peoples-veto-or-citizens-initiative-resources/current-citizen-initiatives-and-peoples-vetoes"/>
    <hyperlink ref="W57" r:id="rId121" display="https://www.maine.gov/sos/elections-voting/peoples-veto-or-citizens-initiative-resources/current-citizen-initiatives-and-peoples-vetoes"/>
    <hyperlink ref="X57" r:id="rId122" display="https://www.cannabisbusinesstimes.com/us-states/maine/news/15814590/maine-anticannabis-signature-gatherers-allowed-to-lie-about-petition"/>
    <hyperlink ref="U58" r:id="rId123" display="https://maineallcare.org/ ; https://healthcareforallmaine.org"/>
    <hyperlink ref="W58" r:id="rId124" display="https://www.maine.gov/sos/elections-voting/peoples-veto-or-citizens-initiative-resources/current-citizen-initiatives-and-peoples-vetoes"/>
    <hyperlink ref="X58" r:id="rId125" display="https://maineallcare.org/?p=158116"/>
    <hyperlink ref="U59" r:id="rId126" display="https://www.maine.gov/sos/elections-voting/peoples-veto-or-citizens-initiative-resources/current-citizen-initiatives-and-peoples-vetoes"/>
    <hyperlink ref="W59" r:id="rId127" display="https://www.maine.gov/sos/elections-voting/peoples-veto-or-citizens-initiative-resources/current-citizen-initiatives-and-peoples-vetoes"/>
    <hyperlink ref="X59" r:id="rId128" display="https://www.pressherald.com/?p=7653907"/>
    <hyperlink ref="W60" r:id="rId129" display="https://www.mymcmedia.org/?p=194914"/>
    <hyperlink ref="X60" r:id="rId130" display="https://montgomeryperspective.com/wp-content/uploads/2026/08/Committee-Control-MoCo-Spending-v-Montgo-BOE-PETITION-for-Judicial-Review-1-DOCKETED.pdf"/>
    <hyperlink ref="Q61" r:id="rId131" display="https://www.theoutreachteam.net/interest-form-tot (June 2026 posting, positions ran through June 19, possible extension)"/>
    <hyperlink ref="U61" r:id="rId132" display="https://afscmemd.org"/>
    <hyperlink ref="W61" r:id="rId133" display="https://www.wmdt.com/?p=4615385"/>
    <hyperlink ref="X61" r:id="rId134" display="https://www.monmouth.edu/career-development/wp-json/wp/v2/ch_job/20163"/>
    <hyperlink ref="Y61" r:id="rId135" display="https://afscmemd.org/press-room/statement-validation-petition-signatures-wicomico-county-board"/>
    <hyperlink ref="W62" r:id="rId136" display="https://www.wypr.org/wypr-news/2026-07-23/how-frederick-countys-first-citizen-led-referendum-failed-in-court"/>
    <hyperlink ref="X62" r:id="rId137" display="https://hoodline.com/2026/06/frederick-data-center-brawl-crashes-into-maryland-s-high-court/"/>
    <hyperlink ref="U63" display="https://signaturedrive.com (named in Boston Globe; site not checked)"/>
    <hyperlink ref="W63" r:id="rId138" display="https://www.bostonglobe.com/2026/09/22/newsletters/harold-hubschman-ballot-questions-signatures-the-scrum/"/>
    <hyperlink ref="X63" r:id="rId139" display="https://foleyhoag.com/news-and-insights/blogs/state-ag-insights/2026/september/initial-massachusetts-2028-ballot-questions-target-taxes-technology-and-energy/"/>
    <hyperlink ref="W64" r:id="rId140" display="https://foleyhoag.com/news-and-insights/blogs/state-ag-insights/2026/september/initial-massachusetts-2028-ballot-questions-target-taxes-technology-and-energy/"/>
    <hyperlink ref="X64" r:id="rId141" display="https://www.mass.gov/info-details/ballot-initiatives-submitted-for-the-2028-biennial-statewide-election-proposed-laws-and-2030-biennial-statewide-election-proposed-constitutional-amendments"/>
    <hyperlink ref="Y64" r:id="rId142" display="https://www.wbur.org/news/2026/06/19/mass-income-tax-ballot-question-world-cup"/>
    <hyperlink ref="W65" r:id="rId143" display="https://www.boston.com/news/local-news/2026/08/26/a-new-ballot-initiative-takes-aim-at-massachusetts-data-centers/"/>
    <hyperlink ref="X65" r:id="rId144" display="https://news.ballotpedia.org/2026/08/13/massachusetts-initiative-would-require-local-voter-approval-and-other-conditions-for-data-center-permits-the-second-statewide-proposal-following-ohio/"/>
    <hyperlink ref="Y65" r:id="rId145" display="https://foleyhoag.com/news-and-insights/blogs/state-ag-insights/2026/september/initial-massachusetts-2028-ballot-questions-target-taxes-technology-and-energy/"/>
    <hyperlink ref="U66" r:id="rId146" display="https://www.signaturedrive.com/ (named in the Boston Globe; not fetched)"/>
    <hyperlink ref="W66" r:id="rId147" display="https://foleyhoag.com/news-and-insights/blogs/state-ag-insights/2026/september/initial-massachusetts-2028-ballot-questions-target-taxes-technology-and-energy/"/>
    <hyperlink ref="X66" r:id="rId148" display="https://www.mass.gov/info-details/ballot-initiatives-submitted-for-the-2028-biennial-statewide-election-proposed-laws-and-2030-biennial-statewide-election-proposed-constitutional-amendments"/>
    <hyperlink ref="Y66" r:id="rId149" display="https://www.bostonglobe.com/2026/09/22/newsletters/harold-hubschman-ballot-questions-signatures-the-scrum/"/>
    <hyperlink ref="W67" r:id="rId150" display="https://www.mass.gov/info-details/ballot-initiatives-submitted-for-the-2028-biennial-statewide-election-proposed-laws-and-2030-biennial-statewide-election-proposed-constitutional-amendments"/>
    <hyperlink ref="X67" r:id="rId151" display="https://foleyhoag.com/news-and-insights/blogs/state-ag-insights/2026/september/initial-massachusetts-2028-ballot-questions-target-taxes-technology-and-energy/"/>
    <hyperlink ref="W68" r:id="rId152" display="https://www.bostonglobe.com/2026/09/22/newsletters/harold-hubschman-ballot-questions-signatures-the-scrum/"/>
    <hyperlink ref="W69" r:id="rId153" display="https://www.bostonglobe.com/2026/09/22/newsletters/harold-hubschman-ballot-questions-signatures-the-scrum/"/>
    <hyperlink ref="W70" r:id="rId154" display="https://www.bostonglobe.com/2026/09/22/newsletters/harold-hubschman-ballot-questions-signatures-the-scrum/"/>
    <hyperlink ref="X70" r:id="rId155" display="https://bankerandtradesman.com/rent-control-foes-say-grassroots-claims-about-ballot-question-were-misleading"/>
    <hyperlink ref="U71" display="https://masscitizensforlife.org ; https://mafamilyaction.org (sponsor orgs)"/>
    <hyperlink ref="W71" r:id="rId156" display="https://www.wbur.org/news/2026/09/04/massachusetts-abortion-law-2028-refendum"/>
    <hyperlink ref="X71" r:id="rId157" display="https://wbsm.com/massachusetts-abortion-law-repeal-2028/"/>
    <hyperlink ref="Y71" r:id="rId158" display="https://www.liveaction.org/news/massachusetts-group-seeks-overturn-abortion-law"/>
    <hyperlink ref="Q72" r:id="rId159" display="https://careers.arena.run/companies/movement-builders/jobs/57300666-petition-circulator"/>
    <hyperlink ref="U72" r:id="rId160" display="https://careers.arena.run/companies/the-outreach-team-2"/>
    <hyperlink ref="W72" r:id="rId161" display="https://careers.arena.run/companies/the-outreach-team-2/jobs/58881847-petitioner-work-to-protect-democracy"/>
    <hyperlink ref="X72" r:id="rId162" display="https://jobs.recorder.com/job/970cd2a6-5876-445f-a3c7-cf1d31536102/petition-circulator"/>
    <hyperlink ref="Y72" r:id="rId163" display="https://jobs.gazettenet.com/job/92b385da-b99a-48cd-b22e-9281f552447e/support-staff-protect-democracy"/>
    <hyperlink ref="W73" r:id="rId164" display="https://bridgemi.com/michigan-government/michigan-ranked-choice-voting-group-ends-2026-ballot-effort/"/>
    <hyperlink ref="W74" r:id="rId165" display="https://www.wkar.org/election-2026/2026-07-08/recall-effort-continues-against-city-of-mason-mayor"/>
    <hyperlink ref="X74" r:id="rId166" display="https://www.newsweek.com/elected-officials-face-recalls-nationwide-data-center-support-12400196"/>
    <hyperlink ref="W75" r:id="rId167" display="https://michiganadvance.com/?p=111313"/>
    <hyperlink ref="X75" r:id="rId168" display="https://www.newsfromthestates.com/node/426976"/>
    <hyperlink ref="Y75" r:id="rId169" display="https://www.newsfromthestates.com/node/432739"/>
    <hyperlink ref="W76" r:id="rId170" display="https://bridgemi.com/?p=71740"/>
    <hyperlink ref="X76" r:id="rId171" display="https://www.votebeat.org/michigan/2026/01/20/petition-signature-gathering-lying-ballot-questions-constitutional-amendments/"/>
    <hyperlink ref="Y76" r:id="rId172" display="https://michiganadvance.com/2026/08/24/board-of-state-canvassers-deadlocks-on-citizens-only-voting-measure-setting-up-court-fight/"/>
    <hyperlink ref="W77" r:id="rId173" display="https://michiganadvance.com/2026/07/24/board-of-state-canvassers-finds-michigans-money-out-of-politics-effort-has-sufficient-valid-signatures/"/>
    <hyperlink ref="X77" r:id="rId174" display="https://www.michiganpublic.org/politics-government/2026-09-04/michigans-november-2026-ballot-is-official-includes-two-questions-for-all-voters"/>
    <hyperlink ref="Y77" r:id="rId175" display="https://bridgemi.com/michigan-government/michigan-petition-groups-begin-final-push-what-will-make-the-ballot/"/>
    <hyperlink ref="W78" r:id="rId176" display="https://www.minneapolismn.gov/government/boards-and-commissions/charter-commission/amending-the-charter/"/>
    <hyperlink ref="X78" r:id="rId177" display="https://www.kwit.org/podcast/spm-news/2026-02-16/spencer-iowa-residents-force-special-election-for-city-council-post"/>
    <hyperlink ref="W79" r:id="rId178" display="https://mississippitoday.org/2026/02/04/senate-measure-to-restore-mississippi-voters-right-to-ballot-initiative-advances/"/>
    <hyperlink ref="X79" r:id="rId179" display="https://ballot-access.org/2026/06/22/june-2026-ballot-access-news-print-edition/"/>
    <hyperlink ref="W80" r:id="rId180" display="https://missouriindependent.com/2026/03/31/missouri-public-education-amendment-campaign-stops-signature-push-plans-2028-return/"/>
    <hyperlink ref="W81" r:id="rId181" display="https://news.ballotpedia.org/2026/05/05/signatures-submitted-for-missouri-initiative-requiring-voter-approval-for-certain-legislative-changes-to-initiative-process-and-voter-approved-laws/"/>
    <hyperlink ref="X81" r:id="rId182" display="https://www.krcu.org/2026-09-03/missouri-supreme-court-puts-respect-missouri-voters-plan-on-november-ballot"/>
    <hyperlink ref="W82" r:id="rId183" display="https://kctv5.com/2026/06/11/ai-data-center-vote-fuels-recall-push-independence-councilman-now-faces-election-keep-his-seat/"/>
    <hyperlink ref="X82" r:id="rId184" display="https://www.kshb.com/news/local-news/independence-mo-councilman-recalled-by-voters-in-his-district-after-his-vote-for-data-center-tax-incentives"/>
    <hyperlink ref="W83" r:id="rId185" display="https://www.kcur.org/politics-elections-and-government/2026-08-18/missouri-ballot-proposals-respect-mo-voters-redistricting-signatures-blocked"/>
    <hyperlink ref="X83" r:id="rId186" display="https://themissouritimes.com/breaking-missouri-supreme-court-orders-initiative-petition-back-on-november-ballot/"/>
    <hyperlink ref="W84" r:id="rId187" display="https://labortribune.com/with-labors-help-305k-signatures-submitted-on-referendum-challenging-missouris-gerrymandered-congressional-maps/"/>
    <hyperlink ref="X84" r:id="rId188" display="https://electionlawblog.org/2026/denny-hoskins-isnt-verifying-one-third-of-signatures-for-vote-on-missouris-gerrymandered-map/"/>
    <hyperlink ref="Y84" r:id="rId189" display="https://www.democracydocket.com/?p=65068"/>
    <hyperlink ref="W85" r:id="rId190" display="https://news.ballotpedia.org/2026/06/17/campaign-behind-a-ballot-initiative-to-prohibit-corporations-from-political-spending-in-montana-submits-signatures/"/>
    <hyperlink ref="W86" r:id="rId191" display="https://news.ballotpedia.org/2026/06/23/campaign-behind-montana-ballot-measure-to-guarantee-impartial-predictable-transparent-and-expeditious-processes-for-ballot-initiatives-submits-signatures/"/>
    <hyperlink ref="X86" r:id="rId192" display="https://sosmt.gov/docs/24/ballot-issues/69573/2025-26_ballot_issues__signature_gathering"/>
    <hyperlink ref="W87" r:id="rId193" display="https://www.wowt.com/2026/10/16/antithesis-that-chaos-15-petition-effort-will-soon-launch-seeking-nebraskas-2028-ballot/"/>
    <hyperlink ref="X87" r:id="rId194" display="https://www.newsfromthestates.com/node/433107"/>
    <hyperlink ref="W88" r:id="rId195" display="https://www.wowt.com/2026/07/02/respect-nebraska-voters-submits-more-than-186k-signatures-november-ballot-initiative/"/>
    <hyperlink ref="W89" r:id="rId196" display="https://www.wowt.com/2026/07/02/backers-online-sports-betting-nebraska-submit-signatures-get-2026-ballot/"/>
    <hyperlink ref="X89" r:id="rId197" display="https://nebraskapublicmedia.org/es/news/news-articles/online-gambling-petition-on-track-to-make-nebraskas-ballot-with-multi-million-dollar-campaign/"/>
    <hyperlink ref="Y89" r:id="rId198" display="https://www.legalsportsreport.com/268438/nebraska-online-sports-betting-signatures-delivered-before-deadline/"/>
    <hyperlink ref="W90" r:id="rId199" display="https://nevadacurrent.com/?p=219001"/>
    <hyperlink ref="X90" r:id="rId200" display="https://nevadacurrent.com/?p=219689"/>
    <hyperlink ref="W91" r:id="rId201" display="https://thenevadaindependent.com/article/tracking-2026-nevada-ballot-measures-whats-up-for-a-vote-and-whats-still-in-limbo"/>
    <hyperlink ref="X91" r:id="rId202" display="https://nevadacurrent.com/?p=219689"/>
    <hyperlink ref="W92" r:id="rId203" display="https://www.salemnh.gov/DocumentCenter/View/6408/Submitttal-Guidelines-for-Citizen-Petition-Warrant-Articles---2026"/>
    <hyperlink ref="W93" r:id="rId204" display="https://insidernj.com/press-release/hoboken-rent-control-referendum-petitions-submited-to-clerk-for-certification-clock-starts-ticking-on-special-election"/>
    <hyperlink ref="W94" r:id="rId205" display="https://sourcenm.com/2026/09/16/new-mexico-forward-party-asks-us-supreme-court-to-intervene-in-ballot-access-lawsuit/"/>
    <hyperlink ref="U95" display="https://elections.ny.gov ; https://vote.nyc"/>
    <hyperlink ref="W95" r:id="rId206" display="https://codes.findlaw.com/ny/election-law/eln-sect-6-136/"/>
    <hyperlink ref="X95" r:id="rId207" display="https://www.gp.org/gpny_now_hiring_petition_circulators"/>
    <hyperlink ref="W96" r:id="rId208" display="https://ballot-access.org/?p=93821"/>
    <hyperlink ref="X96" r:id="rId209" display="https://www.wunc.org/politics/2025-07-28/nc-forward-party-campaign-ballot"/>
    <hyperlink ref="Y96" r:id="rId210" display="https://ncsbe.gov/candidates/petitions/petition-recognition-political-party"/>
    <hyperlink ref="U97" r:id="rId211" display="https://www.sos.nd.gov/elections/voter/ballot-measures/petitions-circulation"/>
    <hyperlink ref="W97" r:id="rId212" display="https://www.sos.nd.gov/elections/voter/ballot-measures/petitions-circulation"/>
    <hyperlink ref="X97" r:id="rId213" display="https://www.sos.nd.gov/elections/voter/ballot-measures/measures-ballot"/>
    <hyperlink ref="Y97" r:id="rId214" display="https://sos.nd.gov/news"/>
    <hyperlink ref="U98" r:id="rId215" display="https://ohioequalrights.org"/>
    <hyperlink ref="W98" r:id="rId216" display="https://thebuckeyeflame.com/2026/06/17/organizers-postpone-ohio-equal-rights-ballot-initiatives-to-2027/"/>
    <hyperlink ref="X98" r:id="rId217" display="https://www.dailysignal.com/2026/06/29/ohio-amendments-nov-2027/"/>
    <hyperlink ref="Y98" r:id="rId218" display="https://www.yahoo.com/news/articles/ohio-voters-could-decide-property-065823650.html"/>
    <hyperlink ref="W99" r:id="rId219" display="https://signalcleveland.org/ohio-property-tax-amendment-abolish-ends-2026-ballot-bid-targets-2027-election/"/>
    <hyperlink ref="X99" r:id="rId220" display="https://signalcleveland.org/ohio-property-tax-abolition-campaign-hits-305000-signatures-heres-what-that-means-for-its-chances/"/>
    <hyperlink ref="Y99" r:id="rId221" display="https://www.wosu.org/2026-06-05/amendment-to-abolish-ohio-property-taxes-wont-be-on-fall-ballot"/>
    <hyperlink ref="W100" r:id="rId222" display="https://ohiocapitaljournal.com/?p=38817"/>
    <hyperlink ref="X100" r:id="rId223" display="https://www.fox19.com/2026/03/18/massive-overhaul-ohio-cannabis-laws-way-after-group-fails-stop-sb-56"/>
    <hyperlink ref="W101" r:id="rId224" display="https://www.yahoo.com/news/articles/campaign-legalize-cannabis-oklahoma-start-104322662.html"/>
    <hyperlink ref="X101" r:id="rId225" display="https://www.news9.com/oklahoma-politics/oklahoma-recreational-marijuana-petition-fails-to-qualify-ballot"/>
    <hyperlink ref="W102" r:id="rId226" display="https://www.news9.com/oklahoma-politics/signed-petitions-open-primaries-oklahoma-delivered"/>
    <hyperlink ref="X102" r:id="rId227" display="https://www.kgou.org/politics-and-government/2026-07-15/oklahoma-supreme-court-to-decide-legality-of-state-question-signature-purge"/>
    <hyperlink ref="Y102" r:id="rId228" display="https://www.okgazette.com/news/state/state-question-836-campaign-begins-gathering-signatures/"/>
    <hyperlink ref="W103" r:id="rId229" display="https://www.publicradiotulsa.org/local-regional/2026-10-07/oklahoma-supreme-court-declares-tax-property-state-question-unconstitutional"/>
    <hyperlink ref="X103" r:id="rId230" display="https://oklahomaconstitution.com/ns.php?nid=1461"/>
    <hyperlink ref="U104" r:id="rId231" display="https://www.oregonvotes.gov/irr"/>
    <hyperlink ref="W104" r:id="rId232" display="https://content.govdelivery.com/accounts/ORSOS/bulletins/42f3440"/>
    <hyperlink ref="X104" r:id="rId233" display="https://content.govdelivery.com/accounts/ORSOS/bulletins/42939f4"/>
    <hyperlink ref="U105" r:id="rId234" display="https://www.oregonvotes.gov/irr"/>
    <hyperlink ref="W105" r:id="rId235" display="https://content.govdelivery.com/accounts/ORSOS/bulletins/425b67e"/>
    <hyperlink ref="X105" r:id="rId236" display="https://content.govdelivery.com/accounts/ORSOS/bulletins/426f27a"/>
    <hyperlink ref="Y105" r:id="rId237" display="https://content.govdelivery.com/accounts/ORSOS/bulletins/41d6933"/>
    <hyperlink ref="U106" r:id="rId238" display="https://www.oregonvotes.gov/irr"/>
    <hyperlink ref="W106" r:id="rId239" display="https://content.govdelivery.com/accounts/ORSOS/bulletins/4245ab7"/>
    <hyperlink ref="U107" r:id="rId240" display="https://sos.oregon.gov/elections/pages/initiatives-referendums-referrals.aspx"/>
    <hyperlink ref="W107" r:id="rId241" display="https://content.govdelivery.com/accounts/ORSOS/bulletins/42475be"/>
    <hyperlink ref="W108" r:id="rId242" display="https://www.opb.org/article/2026/10/08/oregon-wealth-tax-2028-ballot/"/>
    <hyperlink ref="X108" r:id="rId243" display="https://oregoncapitalchronicle.com/2026/10/08/progressive-groups-unions-announce-wealth-tax-initiative-aimed-at-2028-oregon-ballot/"/>
    <hyperlink ref="W109" r:id="rId244" display="https://news.ballotpedia.org/2026/07/27/2026-will-be-the-first-even-numbered-year-since-1966-without-an-initiative-on-the-general-election-ballot-in-oregon-after-an-initiative-to-ban-hunting-fails-to-qualify/"/>
    <hyperlink ref="X109" r:id="rId245" display="https://www.nraila.org/articles/20260529/oregon-initiative-petition-28-threat-to-hunting-fishing-and-outdoor-heritage-one-step-closer-to-reality"/>
    <hyperlink ref="W110" r:id="rId246" display="https://news.ballotpedia.org/2026/07/27/2026-will-be-the-first-even-numbered-year-since-1966-without-an-initiative-on-the-general-election-ballot-in-oregon-after-an-initiative-to-ban-hunting-fails-to-qualify/"/>
    <hyperlink ref="X110" r:id="rId247" display="https://www.kptv.com/2025/11/26/over-150k-signatures-collected-put-oregon-transportation-bill-up-vote-group-says/"/>
    <hyperlink ref="W111" r:id="rId248" display="https://www.timesleader.com/news/1745787/group-advocates-adding-insider-stock-trading-prohibition-to-luzerne-countys-home-rule-charter"/>
    <hyperlink ref="X111" r:id="rId249" display="https://fox56.com/news/local/anti-insider-trading-petitions-get-over-40k-signatures-issue-moves-to-november-ballot"/>
    <hyperlink ref="W113" r:id="rId250" display="https://ballot-access.org/2026/06/22/june-2026-ballot-access-news-print-edition/"/>
    <hyperlink ref="W114" r:id="rId251" display="https://sdsos.gov/elections-voting/upcoming-elections/general-information/2026%20Election%20Information/2026-ballot-questions.aspx"/>
    <hyperlink ref="X114" r:id="rId252" display="https://www.kotatv.com/2026/05/08/group-collecting-petition-signatures-post-deadline-using-court-decision-justification/"/>
    <hyperlink ref="Y114" r:id="rId253" display="https://www.dakotanewsnow.com/2026/08/12/legislature-handed-loss-after-circuit-court-deems-state-law-unconstitutional/"/>
    <hyperlink ref="W115" r:id="rId254" display="https://www.sdpb.org/politics/2026-06-29/group-fails-to-get-homeowner-property-tax-relief-law-on-november-ballot"/>
    <hyperlink ref="X115" r:id="rId255" display="https://southdakotasearchlight.com/2026/04/30/opponents-seek-public-vote-on-sd-law-using-higher-sales-taxes-to-drop-property-taxes/"/>
    <hyperlink ref="W116" r:id="rId256" display="https://sdsos.gov/elections-voting/upcoming-elections/general-information/2026%20Election%20Information/2026-ballot-questions.aspx"/>
    <hyperlink ref="X116" r:id="rId257" display="https://www.kotatv.com/2026/05/08/group-collecting-petition-signatures-post-deadline-using-court-decision-justification/"/>
    <hyperlink ref="Q117" r:id="rId258" display="https://careers.arena.run/companies/the-outreach-team-2/jobs/86613658-petition-circulator-expand-affordable-housing"/>
    <hyperlink ref="W117" r:id="rId259" display="https://careers.arena.run/companies/the-outreach-team-2/jobs/86613658-petition-circulator-expand-affordable-housing"/>
    <hyperlink ref="X117" r:id="rId260" display="https://www.newschannel5.com/news/newschannel-5-investigates/election-commission-approves-petition-to-put-fate-of-nashville-fairgrounds-speedway-on-ballot-next-summer"/>
    <hyperlink ref="Y117" r:id="rId261" display="https://fox17.com/news/local/nashville-election-commission-clears-fairgrounds-racing-referendum-for-2027-ballot"/>
    <hyperlink ref="W118" r:id="rId262" display="https://www.dmagazine.com/micropost/save-dallas-city-hall-to-attempt-referendum/"/>
    <hyperlink ref="X118" r:id="rId263" display="https://www.fox4news.com/news/dallas-city-hall-petition-drive-seeks-may-ballot-vote-save-iconic-building.amp"/>
    <hyperlink ref="Y118" r:id="rId264" display="https://www.dmagazine.com/micropost/save-dallas-city-hall-officially-launches-petition-drive-for-charter-amendment/"/>
    <hyperlink ref="W119" r:id="rId265" display="https://www.newsweek.com/elected-officials-face-recalls-nationwide-data-center-support-12400196"/>
    <hyperlink ref="W120" r:id="rId266" display="https://www.yahoo.com/news/articles/austin-pac-appeals-texas-supreme-025130188.html"/>
    <hyperlink ref="X120" r:id="rId267" display="https://www.austintexas.gov/clerk/initiative-petitions"/>
    <hyperlink ref="Y120" r:id="rId268" display="https://www.kut.org/austin/2026-02-12/austin-tx-convention-center-expansion-lawsuit-texas-supreme-court"/>
    <hyperlink ref="U121" r:id="rId269" display="https://vote.utah.gov/local-referendum-salt-lake-county-salt-lake-county-property-tax-referendum/"/>
    <hyperlink ref="W121" r:id="rId270" display="https://www.sltrib.com/news/2025/12/16/salt-lake-county-residents-hope/"/>
    <hyperlink ref="X121" r:id="rId271" display="https://hoodline.com/2026/02/salt-lake-county-tax-revolt-stalls-organizers-plot-next-move/"/>
    <hyperlink ref="W122" r:id="rId272" display="https://vote.utah.gov/initiatives-and-referenda"/>
    <hyperlink ref="X122" r:id="rId273" display="https://www.axios.com/local/salt-lake-city/2025/04/16/utah-labor-unions-signatures-collective-bargaining-ban"/>
    <hyperlink ref="Y122" r:id="rId274" display="https://news.ballotpedia.org/2025/04/16/protect-utah-workers-submits-signatures-to-the-secretary-of-state-for-veto-referendum/"/>
    <hyperlink ref="W123" r:id="rId275" display="https://www.axios.com/local/salt-lake-city/2026/02/17/utah-redistricting-signature-ballot-gop-republican-2026"/>
    <hyperlink ref="X123" r:id="rId276" display="https://vote.utah.gov/initiatives-and-referenda"/>
    <hyperlink ref="Q124" r:id="rId277" display="https://landslidepolitical.recruitee.com/o/canvasser-ogden-ut-25hr"/>
    <hyperlink ref="U124" r:id="rId278" display="https://landslidepolitical.recruitee.com"/>
    <hyperlink ref="W124" r:id="rId279" display="https://landslidepolitical.recruitee.com/o/canvasser-ogden-ut-25hr"/>
    <hyperlink ref="X124" r:id="rId280" display="https://landslidepolitical.recruitee.com/o/canvasser-provo-ut-25hr?lang=en"/>
    <hyperlink ref="Y124" r:id="rId281" display="https://careers.arena.run/companies/landslide-political-2/jobs/65127463-canvasser-salt-lake-city-ut-25-hr"/>
    <hyperlink ref="W126" r:id="rId282" display="https://ballot-access.org/2026/06/22/june-2026-ballot-access-news-print-edition/"/>
    <hyperlink ref="U127" r:id="rId283" display="https://wholewashington.org/initiative/"/>
    <hyperlink ref="W127" r:id="rId284" display="https://wholewashington.org/initiative/"/>
    <hyperlink ref="W128" r:id="rId285" display="https://www.komonews.com/news/local/lets-go-washington-girls-sports-fairness-democratic-process-governer-ferguson-what-is-an-initiative-to-the-legislature-and-how-many-are-in-the-works-right-now"/>
    <hyperlink ref="X128" r:id="rId286" display="https://washingtonstatestandard.com/voter-guides/ballot-measures/to-restore-the-2024-parents-bill-of-rights-initiative-001/"/>
    <hyperlink ref="W129" r:id="rId287" display="https://www.komonews.com/news/local/lets-go-washington-girls-sports-fairness-democratic-process-governer-ferguson-what-is-an-initiative-to-the-legislature-and-how-many-are-in-the-works-right-now"/>
    <hyperlink ref="X129" r:id="rId288" display="https://en.wikipedia.org/wiki/2026_Washington_Initiative_IL26-638"/>
    <hyperlink ref="W130" r:id="rId289" display="https://lwvwa.org/IP26-500"/>
    <hyperlink ref="X130" r:id="rId290" display="https://bcrpwa.com/?p=2259"/>
    <hyperlink ref="Y130" r:id="rId291" display="https://washingtonstatestandard.com/2025/07/14/this-measure-would-make-wa-residents-prove-they-are-citizens-when-they-register-to-vote/"/>
    <hyperlink ref="W131" r:id="rId292" display="https://mynorthwest.com/john-curley/millionaires-tax-signatures/4244972"/>
    <hyperlink ref="X131" r:id="rId293" display="https://komonews.com/news/local/initiative-campaign-launches-to-repeal-washington-millionaires-tax-governor-bob-ferguson-attorney-generals-office-collecting-signatures-washington-constitution-99-tax"/>
    <hyperlink ref="Y131" r:id="rId294" display="https://washingtonstatestandard.com/voter-guides/ballot-measures/to-repeal-the-states-income-tax/"/>
    <hyperlink ref="W132" r:id="rId295" display="https://mynorthwest.com/?p=3989585"/>
    <hyperlink ref="W133" r:id="rId296" display="https://ballot-access.org/2026/06/22/june-2026-ballot-access-news-print-edition/"/>
    <hyperlink ref="W134" r:id="rId297" display="https://www.wpr.org/news/winneconne-school-board-recall-petition-rejected-organizers-filing-appeal-with-wec"/>
    <hyperlink ref="U135" r:id="rId298" display="https://sos.wyo.gov/Elections/InitiativeReferendumInfo.aspx"/>
    <hyperlink ref="W135" r:id="rId299" display="https://sos.wyo.gov/Elections/InitiativeReferendumInfo.aspx"/>
    <hyperlink ref="X135" r:id="rId300" display="https://goconow.com/secretary-of-state-certifies-initiative-to-provide-property-tax-limits-for-2026-election-ballo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0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36"/>
    <col collapsed="false" customWidth="true" hidden="false" outlineLevel="0" max="4" min="4" style="0" width="22"/>
    <col collapsed="false" customWidth="true" hidden="false" outlineLevel="0" max="5" min="5" style="0" width="24"/>
    <col collapsed="false" customWidth="true" hidden="false" outlineLevel="0" max="6" min="6" style="0" width="22"/>
    <col collapsed="false" customWidth="true" hidden="false" outlineLevel="0" max="7" min="7" style="0" width="16"/>
    <col collapsed="false" customWidth="true" hidden="false" outlineLevel="0" max="8" min="8" style="0" width="14"/>
    <col collapsed="false" customWidth="true" hidden="false" outlineLevel="0" max="9" min="9" style="0" width="30"/>
    <col collapsed="false" customWidth="true" hidden="false" outlineLevel="0" max="13" min="10" style="0" width="8"/>
    <col collapsed="false" customWidth="true" hidden="false" outlineLevel="0" max="14" min="14" style="0" width="9"/>
    <col collapsed="false" customWidth="true" hidden="false" outlineLevel="0" max="15" min="15" style="0" width="11"/>
    <col collapsed="false" customWidth="true" hidden="false" outlineLevel="0" max="16" min="16" style="0" width="60"/>
  </cols>
  <sheetData>
    <row r="1" customFormat="false" ht="19.7" hidden="false" customHeight="false" outlineLevel="0" collapsed="false">
      <c r="A1" s="1" t="s">
        <v>1572</v>
      </c>
    </row>
    <row r="2" customFormat="false" ht="42" hidden="false" customHeight="true" outlineLevel="0" collapsed="false">
      <c r="A2" s="20" t="s">
        <v>1573</v>
      </c>
      <c r="B2" s="20"/>
      <c r="C2" s="20"/>
      <c r="D2" s="20"/>
      <c r="E2" s="20"/>
      <c r="F2" s="20"/>
      <c r="G2" s="20"/>
      <c r="H2" s="20"/>
      <c r="I2" s="20"/>
      <c r="J2" s="20"/>
      <c r="K2" s="20"/>
      <c r="L2" s="20"/>
      <c r="M2" s="20"/>
      <c r="N2" s="20"/>
      <c r="O2" s="20"/>
      <c r="P2" s="20"/>
    </row>
    <row r="4" customFormat="false" ht="30" hidden="false" customHeight="true" outlineLevel="0" collapsed="false">
      <c r="A4" s="11" t="s">
        <v>1574</v>
      </c>
      <c r="B4" s="11" t="s">
        <v>41</v>
      </c>
      <c r="C4" s="11" t="s">
        <v>44</v>
      </c>
      <c r="D4" s="11" t="s">
        <v>49</v>
      </c>
      <c r="E4" s="11" t="s">
        <v>48</v>
      </c>
      <c r="F4" s="11" t="s">
        <v>55</v>
      </c>
      <c r="G4" s="11" t="s">
        <v>51</v>
      </c>
      <c r="H4" s="11" t="s">
        <v>50</v>
      </c>
      <c r="I4" s="11" t="s">
        <v>56</v>
      </c>
      <c r="J4" s="11" t="s">
        <v>1575</v>
      </c>
      <c r="K4" s="11" t="s">
        <v>1576</v>
      </c>
      <c r="L4" s="11" t="s">
        <v>1577</v>
      </c>
      <c r="M4" s="11" t="s">
        <v>1578</v>
      </c>
      <c r="N4" s="11" t="s">
        <v>1579</v>
      </c>
      <c r="O4" s="11" t="s">
        <v>1580</v>
      </c>
      <c r="P4" s="11" t="s">
        <v>1581</v>
      </c>
    </row>
    <row r="5" customFormat="false" ht="68.65" hidden="false" customHeight="false" outlineLevel="0" collapsed="false">
      <c r="A5" s="3" t="n">
        <v>1</v>
      </c>
      <c r="B5" s="3" t="s">
        <v>683</v>
      </c>
      <c r="C5" s="3" t="s">
        <v>684</v>
      </c>
      <c r="D5" s="19" t="s">
        <v>10</v>
      </c>
      <c r="E5" s="3" t="s">
        <v>688</v>
      </c>
      <c r="F5" s="3" t="s">
        <v>691</v>
      </c>
      <c r="G5" s="3" t="s">
        <v>690</v>
      </c>
      <c r="H5" s="3" t="s">
        <v>689</v>
      </c>
      <c r="I5" s="3" t="s">
        <v>75</v>
      </c>
      <c r="J5" s="21" t="n">
        <v>2</v>
      </c>
      <c r="K5" s="21" t="n">
        <v>5</v>
      </c>
      <c r="L5" s="21" t="n">
        <v>2</v>
      </c>
      <c r="M5" s="21" t="n">
        <v>3</v>
      </c>
      <c r="N5" s="21" t="n">
        <v>4</v>
      </c>
      <c r="O5" s="22" t="n">
        <f aca="false">SUM(J5:N5)</f>
        <v>16</v>
      </c>
      <c r="P5" s="3" t="s">
        <v>694</v>
      </c>
    </row>
    <row r="6" customFormat="false" ht="158.2" hidden="false" customHeight="false" outlineLevel="0" collapsed="false">
      <c r="A6" s="3" t="n">
        <v>2</v>
      </c>
      <c r="B6" s="3" t="s">
        <v>437</v>
      </c>
      <c r="C6" s="3" t="s">
        <v>438</v>
      </c>
      <c r="D6" s="18" t="s">
        <v>12</v>
      </c>
      <c r="E6" s="3" t="s">
        <v>442</v>
      </c>
      <c r="F6" s="3" t="s">
        <v>446</v>
      </c>
      <c r="G6" s="3" t="s">
        <v>444</v>
      </c>
      <c r="H6" s="3" t="s">
        <v>443</v>
      </c>
      <c r="I6" s="15" t="s">
        <v>447</v>
      </c>
      <c r="J6" s="21" t="n">
        <v>5</v>
      </c>
      <c r="K6" s="21" t="n">
        <v>5</v>
      </c>
      <c r="L6" s="21" t="n">
        <v>1</v>
      </c>
      <c r="M6" s="21" t="n">
        <v>3</v>
      </c>
      <c r="N6" s="21" t="n">
        <v>2</v>
      </c>
      <c r="O6" s="22" t="n">
        <f aca="false">SUM(J6:N6)</f>
        <v>16</v>
      </c>
      <c r="P6" s="3" t="s">
        <v>450</v>
      </c>
    </row>
    <row r="7" customFormat="false" ht="57.45" hidden="false" customHeight="false" outlineLevel="0" collapsed="false">
      <c r="A7" s="3" t="n">
        <v>3</v>
      </c>
      <c r="B7" s="3" t="s">
        <v>185</v>
      </c>
      <c r="C7" s="3" t="s">
        <v>215</v>
      </c>
      <c r="D7" s="18" t="s">
        <v>12</v>
      </c>
      <c r="E7" s="3" t="s">
        <v>218</v>
      </c>
      <c r="F7" s="3" t="s">
        <v>219</v>
      </c>
      <c r="G7" s="3" t="s">
        <v>75</v>
      </c>
      <c r="H7" s="3" t="s">
        <v>75</v>
      </c>
      <c r="I7" s="15" t="s">
        <v>220</v>
      </c>
      <c r="J7" s="21" t="n">
        <v>5</v>
      </c>
      <c r="K7" s="21" t="n">
        <v>5</v>
      </c>
      <c r="L7" s="21" t="n">
        <v>1</v>
      </c>
      <c r="M7" s="21" t="n">
        <v>1</v>
      </c>
      <c r="N7" s="21" t="n">
        <v>2</v>
      </c>
      <c r="O7" s="22" t="n">
        <f aca="false">SUM(J7:N7)</f>
        <v>14</v>
      </c>
      <c r="P7" s="3" t="s">
        <v>222</v>
      </c>
    </row>
    <row r="8" customFormat="false" ht="46.25" hidden="false" customHeight="false" outlineLevel="0" collapsed="false">
      <c r="A8" s="3" t="n">
        <v>4</v>
      </c>
      <c r="B8" s="3" t="s">
        <v>764</v>
      </c>
      <c r="C8" s="3" t="s">
        <v>765</v>
      </c>
      <c r="D8" s="18" t="s">
        <v>12</v>
      </c>
      <c r="E8" s="3" t="s">
        <v>769</v>
      </c>
      <c r="F8" s="3" t="s">
        <v>75</v>
      </c>
      <c r="G8" s="3" t="s">
        <v>771</v>
      </c>
      <c r="H8" s="3" t="s">
        <v>770</v>
      </c>
      <c r="I8" s="3" t="s">
        <v>75</v>
      </c>
      <c r="J8" s="21" t="n">
        <v>2</v>
      </c>
      <c r="K8" s="21" t="n">
        <v>0</v>
      </c>
      <c r="L8" s="21" t="n">
        <v>5</v>
      </c>
      <c r="M8" s="21" t="n">
        <v>4</v>
      </c>
      <c r="N8" s="21" t="n">
        <v>2</v>
      </c>
      <c r="O8" s="22" t="n">
        <f aca="false">SUM(J8:N8)</f>
        <v>13</v>
      </c>
      <c r="P8" s="3" t="s">
        <v>775</v>
      </c>
    </row>
    <row r="9" customFormat="false" ht="68.65" hidden="false" customHeight="false" outlineLevel="0" collapsed="false">
      <c r="A9" s="3" t="n">
        <v>5</v>
      </c>
      <c r="B9" s="3" t="s">
        <v>764</v>
      </c>
      <c r="C9" s="3" t="s">
        <v>802</v>
      </c>
      <c r="D9" s="18" t="s">
        <v>12</v>
      </c>
      <c r="E9" s="3" t="s">
        <v>806</v>
      </c>
      <c r="F9" s="3" t="s">
        <v>75</v>
      </c>
      <c r="G9" s="3" t="s">
        <v>784</v>
      </c>
      <c r="H9" s="3" t="s">
        <v>807</v>
      </c>
      <c r="I9" s="3" t="s">
        <v>75</v>
      </c>
      <c r="J9" s="21" t="n">
        <v>2</v>
      </c>
      <c r="K9" s="21" t="n">
        <v>0</v>
      </c>
      <c r="L9" s="21" t="n">
        <v>5</v>
      </c>
      <c r="M9" s="21" t="n">
        <v>4</v>
      </c>
      <c r="N9" s="21" t="n">
        <v>2</v>
      </c>
      <c r="O9" s="22" t="n">
        <f aca="false">SUM(J9:N9)</f>
        <v>13</v>
      </c>
      <c r="P9" s="3" t="s">
        <v>812</v>
      </c>
    </row>
    <row r="10" customFormat="false" ht="35.05" hidden="false" customHeight="false" outlineLevel="0" collapsed="false">
      <c r="A10" s="3" t="n">
        <v>6</v>
      </c>
      <c r="B10" s="3" t="s">
        <v>671</v>
      </c>
      <c r="C10" s="3" t="s">
        <v>672</v>
      </c>
      <c r="D10" s="18" t="s">
        <v>12</v>
      </c>
      <c r="E10" s="3" t="s">
        <v>75</v>
      </c>
      <c r="F10" s="3" t="s">
        <v>75</v>
      </c>
      <c r="G10" s="3" t="s">
        <v>677</v>
      </c>
      <c r="H10" s="3" t="s">
        <v>676</v>
      </c>
      <c r="I10" s="3" t="s">
        <v>75</v>
      </c>
      <c r="J10" s="21" t="n">
        <v>0</v>
      </c>
      <c r="K10" s="21" t="n">
        <v>0</v>
      </c>
      <c r="L10" s="21" t="n">
        <v>5</v>
      </c>
      <c r="M10" s="21" t="n">
        <v>5</v>
      </c>
      <c r="N10" s="21" t="n">
        <v>2</v>
      </c>
      <c r="O10" s="22" t="n">
        <f aca="false">SUM(J10:N10)</f>
        <v>12</v>
      </c>
      <c r="P10" s="3" t="s">
        <v>679</v>
      </c>
    </row>
    <row r="11" customFormat="false" ht="79.85" hidden="false" customHeight="false" outlineLevel="0" collapsed="false">
      <c r="A11" s="3" t="n">
        <v>7</v>
      </c>
      <c r="B11" s="3" t="s">
        <v>764</v>
      </c>
      <c r="C11" s="3" t="s">
        <v>791</v>
      </c>
      <c r="D11" s="18" t="s">
        <v>12</v>
      </c>
      <c r="E11" s="3" t="s">
        <v>794</v>
      </c>
      <c r="F11" s="3" t="s">
        <v>75</v>
      </c>
      <c r="G11" s="3" t="s">
        <v>784</v>
      </c>
      <c r="H11" s="3" t="s">
        <v>795</v>
      </c>
      <c r="I11" s="3" t="s">
        <v>75</v>
      </c>
      <c r="J11" s="21" t="n">
        <v>2</v>
      </c>
      <c r="K11" s="21" t="n">
        <v>0</v>
      </c>
      <c r="L11" s="21" t="n">
        <v>5</v>
      </c>
      <c r="M11" s="21" t="n">
        <v>3</v>
      </c>
      <c r="N11" s="21" t="n">
        <v>2</v>
      </c>
      <c r="O11" s="22" t="n">
        <f aca="false">SUM(J11:N11)</f>
        <v>12</v>
      </c>
      <c r="P11" s="3" t="s">
        <v>798</v>
      </c>
    </row>
    <row r="12" customFormat="false" ht="91" hidden="false" customHeight="false" outlineLevel="0" collapsed="false">
      <c r="A12" s="3" t="n">
        <v>8</v>
      </c>
      <c r="B12" s="3" t="s">
        <v>1121</v>
      </c>
      <c r="C12" s="3" t="s">
        <v>1123</v>
      </c>
      <c r="D12" s="16" t="s">
        <v>14</v>
      </c>
      <c r="E12" s="3" t="s">
        <v>75</v>
      </c>
      <c r="F12" s="3" t="s">
        <v>1129</v>
      </c>
      <c r="G12" s="3" t="s">
        <v>1128</v>
      </c>
      <c r="H12" s="3" t="s">
        <v>1127</v>
      </c>
      <c r="I12" s="3" t="s">
        <v>75</v>
      </c>
      <c r="J12" s="21" t="n">
        <v>0</v>
      </c>
      <c r="K12" s="21" t="n">
        <v>5</v>
      </c>
      <c r="L12" s="21" t="n">
        <v>1</v>
      </c>
      <c r="M12" s="21" t="n">
        <v>5</v>
      </c>
      <c r="N12" s="21" t="n">
        <v>1</v>
      </c>
      <c r="O12" s="22" t="n">
        <f aca="false">SUM(J12:N12)</f>
        <v>12</v>
      </c>
      <c r="P12" s="3" t="s">
        <v>1133</v>
      </c>
    </row>
    <row r="13" customFormat="false" ht="57.45" hidden="false" customHeight="false" outlineLevel="0" collapsed="false">
      <c r="A13" s="3" t="n">
        <v>9</v>
      </c>
      <c r="B13" s="3" t="s">
        <v>185</v>
      </c>
      <c r="C13" s="3" t="s">
        <v>186</v>
      </c>
      <c r="D13" s="18" t="s">
        <v>12</v>
      </c>
      <c r="E13" s="3" t="s">
        <v>75</v>
      </c>
      <c r="F13" s="3" t="s">
        <v>75</v>
      </c>
      <c r="G13" s="3" t="s">
        <v>191</v>
      </c>
      <c r="H13" s="3" t="s">
        <v>190</v>
      </c>
      <c r="I13" s="3" t="s">
        <v>75</v>
      </c>
      <c r="J13" s="21" t="n">
        <v>0</v>
      </c>
      <c r="K13" s="21" t="n">
        <v>0</v>
      </c>
      <c r="L13" s="21" t="n">
        <v>4</v>
      </c>
      <c r="M13" s="21" t="n">
        <v>5</v>
      </c>
      <c r="N13" s="21" t="n">
        <v>2</v>
      </c>
      <c r="O13" s="22" t="n">
        <f aca="false">SUM(J13:N13)</f>
        <v>11</v>
      </c>
      <c r="P13" s="3" t="s">
        <v>197</v>
      </c>
    </row>
    <row r="14" customFormat="false" ht="68.65" hidden="false" customHeight="false" outlineLevel="0" collapsed="false">
      <c r="A14" s="3" t="n">
        <v>10</v>
      </c>
      <c r="B14" s="3" t="s">
        <v>764</v>
      </c>
      <c r="C14" s="3" t="s">
        <v>814</v>
      </c>
      <c r="D14" s="18" t="s">
        <v>12</v>
      </c>
      <c r="E14" s="3" t="s">
        <v>75</v>
      </c>
      <c r="F14" s="3" t="s">
        <v>75</v>
      </c>
      <c r="G14" s="3" t="s">
        <v>784</v>
      </c>
      <c r="H14" s="3" t="s">
        <v>807</v>
      </c>
      <c r="I14" s="3" t="s">
        <v>75</v>
      </c>
      <c r="J14" s="21" t="n">
        <v>0</v>
      </c>
      <c r="K14" s="21" t="n">
        <v>0</v>
      </c>
      <c r="L14" s="21" t="n">
        <v>5</v>
      </c>
      <c r="M14" s="21" t="n">
        <v>4</v>
      </c>
      <c r="N14" s="21" t="n">
        <v>2</v>
      </c>
      <c r="O14" s="22" t="n">
        <f aca="false">SUM(J14:N14)</f>
        <v>11</v>
      </c>
      <c r="P14" s="3" t="s">
        <v>818</v>
      </c>
    </row>
    <row r="15" customFormat="false" ht="46.25" hidden="false" customHeight="false" outlineLevel="0" collapsed="false">
      <c r="A15" s="3" t="n">
        <v>11</v>
      </c>
      <c r="B15" s="3" t="s">
        <v>185</v>
      </c>
      <c r="C15" s="3" t="s">
        <v>203</v>
      </c>
      <c r="D15" s="18" t="s">
        <v>12</v>
      </c>
      <c r="E15" s="3" t="s">
        <v>75</v>
      </c>
      <c r="F15" s="3" t="s">
        <v>75</v>
      </c>
      <c r="G15" s="3" t="s">
        <v>207</v>
      </c>
      <c r="H15" s="3" t="s">
        <v>190</v>
      </c>
      <c r="I15" s="3" t="s">
        <v>75</v>
      </c>
      <c r="J15" s="21" t="n">
        <v>0</v>
      </c>
      <c r="K15" s="21" t="n">
        <v>0</v>
      </c>
      <c r="L15" s="21" t="n">
        <v>3</v>
      </c>
      <c r="M15" s="21" t="n">
        <v>5</v>
      </c>
      <c r="N15" s="21" t="n">
        <v>2</v>
      </c>
      <c r="O15" s="22" t="n">
        <f aca="false">SUM(J15:N15)</f>
        <v>10</v>
      </c>
      <c r="P15" s="3" t="s">
        <v>210</v>
      </c>
    </row>
    <row r="16" customFormat="false" ht="135.8" hidden="false" customHeight="false" outlineLevel="0" collapsed="false">
      <c r="A16" s="3" t="n">
        <v>12</v>
      </c>
      <c r="B16" s="3" t="s">
        <v>588</v>
      </c>
      <c r="C16" s="3" t="s">
        <v>607</v>
      </c>
      <c r="D16" s="18" t="s">
        <v>12</v>
      </c>
      <c r="E16" s="3" t="s">
        <v>75</v>
      </c>
      <c r="F16" s="3" t="s">
        <v>75</v>
      </c>
      <c r="G16" s="3" t="s">
        <v>612</v>
      </c>
      <c r="H16" s="3" t="s">
        <v>611</v>
      </c>
      <c r="I16" s="3" t="s">
        <v>75</v>
      </c>
      <c r="J16" s="21" t="n">
        <v>0</v>
      </c>
      <c r="K16" s="21" t="n">
        <v>0</v>
      </c>
      <c r="L16" s="21" t="n">
        <v>5</v>
      </c>
      <c r="M16" s="21" t="n">
        <v>3</v>
      </c>
      <c r="N16" s="21" t="n">
        <v>2</v>
      </c>
      <c r="O16" s="22" t="n">
        <f aca="false">SUM(J16:N16)</f>
        <v>10</v>
      </c>
      <c r="P16" s="3" t="s">
        <v>615</v>
      </c>
    </row>
    <row r="17" customFormat="false" ht="102.2" hidden="false" customHeight="false" outlineLevel="0" collapsed="false">
      <c r="A17" s="3" t="n">
        <v>13</v>
      </c>
      <c r="B17" s="3" t="s">
        <v>764</v>
      </c>
      <c r="C17" s="3" t="s">
        <v>779</v>
      </c>
      <c r="D17" s="18" t="s">
        <v>12</v>
      </c>
      <c r="E17" s="3" t="s">
        <v>75</v>
      </c>
      <c r="F17" s="3" t="s">
        <v>75</v>
      </c>
      <c r="G17" s="3" t="s">
        <v>784</v>
      </c>
      <c r="H17" s="3" t="s">
        <v>783</v>
      </c>
      <c r="I17" s="3" t="s">
        <v>75</v>
      </c>
      <c r="J17" s="21" t="n">
        <v>0</v>
      </c>
      <c r="K17" s="21" t="n">
        <v>0</v>
      </c>
      <c r="L17" s="21" t="n">
        <v>5</v>
      </c>
      <c r="M17" s="21" t="n">
        <v>3</v>
      </c>
      <c r="N17" s="21" t="n">
        <v>2</v>
      </c>
      <c r="O17" s="22" t="n">
        <f aca="false">SUM(J17:N17)</f>
        <v>10</v>
      </c>
      <c r="P17" s="3" t="s">
        <v>787</v>
      </c>
    </row>
    <row r="18" customFormat="false" ht="79.85" hidden="false" customHeight="false" outlineLevel="0" collapsed="false">
      <c r="A18" s="3" t="n">
        <v>14</v>
      </c>
      <c r="B18" s="3" t="s">
        <v>1384</v>
      </c>
      <c r="C18" s="3" t="s">
        <v>1403</v>
      </c>
      <c r="D18" s="18" t="s">
        <v>12</v>
      </c>
      <c r="E18" s="3" t="s">
        <v>75</v>
      </c>
      <c r="F18" s="3" t="s">
        <v>75</v>
      </c>
      <c r="G18" s="3" t="s">
        <v>1407</v>
      </c>
      <c r="H18" s="3" t="s">
        <v>1406</v>
      </c>
      <c r="I18" s="3" t="s">
        <v>75</v>
      </c>
      <c r="J18" s="21" t="n">
        <v>0</v>
      </c>
      <c r="K18" s="21" t="n">
        <v>0</v>
      </c>
      <c r="L18" s="21" t="n">
        <v>5</v>
      </c>
      <c r="M18" s="21" t="n">
        <v>3</v>
      </c>
      <c r="N18" s="21" t="n">
        <v>2</v>
      </c>
      <c r="O18" s="22" t="n">
        <f aca="false">SUM(J18:N18)</f>
        <v>10</v>
      </c>
      <c r="P18" s="3" t="s">
        <v>1408</v>
      </c>
    </row>
    <row r="19" customFormat="false" ht="35.05" hidden="false" customHeight="false" outlineLevel="0" collapsed="false">
      <c r="A19" s="3" t="n">
        <v>15</v>
      </c>
      <c r="B19" s="3" t="s">
        <v>683</v>
      </c>
      <c r="C19" s="3" t="s">
        <v>697</v>
      </c>
      <c r="D19" s="18" t="s">
        <v>12</v>
      </c>
      <c r="E19" s="3" t="s">
        <v>701</v>
      </c>
      <c r="F19" s="3" t="s">
        <v>75</v>
      </c>
      <c r="G19" s="3" t="s">
        <v>702</v>
      </c>
      <c r="H19" s="3" t="s">
        <v>689</v>
      </c>
      <c r="I19" s="3" t="s">
        <v>75</v>
      </c>
      <c r="J19" s="21" t="n">
        <v>2</v>
      </c>
      <c r="K19" s="21" t="n">
        <v>0</v>
      </c>
      <c r="L19" s="21" t="n">
        <v>2</v>
      </c>
      <c r="M19" s="21" t="n">
        <v>3</v>
      </c>
      <c r="N19" s="21" t="n">
        <v>2</v>
      </c>
      <c r="O19" s="22" t="n">
        <f aca="false">SUM(J19:N19)</f>
        <v>9</v>
      </c>
      <c r="P19" s="3" t="s">
        <v>705</v>
      </c>
    </row>
    <row r="20" customFormat="false" ht="124.6" hidden="false" customHeight="false" outlineLevel="0" collapsed="false">
      <c r="A20" s="3" t="n">
        <v>16</v>
      </c>
      <c r="B20" s="3" t="s">
        <v>1236</v>
      </c>
      <c r="C20" s="3" t="s">
        <v>1237</v>
      </c>
      <c r="D20" s="16" t="s">
        <v>14</v>
      </c>
      <c r="E20" s="3" t="s">
        <v>75</v>
      </c>
      <c r="F20" s="3" t="s">
        <v>75</v>
      </c>
      <c r="G20" s="3" t="s">
        <v>1242</v>
      </c>
      <c r="H20" s="3" t="s">
        <v>1241</v>
      </c>
      <c r="I20" s="3" t="s">
        <v>75</v>
      </c>
      <c r="J20" s="21" t="n">
        <v>0</v>
      </c>
      <c r="K20" s="21" t="n">
        <v>0</v>
      </c>
      <c r="L20" s="21" t="n">
        <v>5</v>
      </c>
      <c r="M20" s="21" t="n">
        <v>3</v>
      </c>
      <c r="N20" s="21" t="n">
        <v>1</v>
      </c>
      <c r="O20" s="22" t="n">
        <f aca="false">SUM(J20:N20)</f>
        <v>9</v>
      </c>
      <c r="P20" s="3" t="s">
        <v>1246</v>
      </c>
    </row>
    <row r="21" customFormat="false" ht="68.65" hidden="false" customHeight="false" outlineLevel="0" collapsed="false">
      <c r="A21" s="3" t="n">
        <v>17</v>
      </c>
      <c r="B21" s="3" t="s">
        <v>388</v>
      </c>
      <c r="C21" s="3" t="s">
        <v>390</v>
      </c>
      <c r="D21" s="18" t="s">
        <v>12</v>
      </c>
      <c r="E21" s="3" t="s">
        <v>75</v>
      </c>
      <c r="F21" s="3" t="s">
        <v>75</v>
      </c>
      <c r="G21" s="3" t="s">
        <v>395</v>
      </c>
      <c r="H21" s="3" t="s">
        <v>394</v>
      </c>
      <c r="I21" s="3" t="s">
        <v>397</v>
      </c>
      <c r="J21" s="21" t="n">
        <v>0</v>
      </c>
      <c r="K21" s="21" t="n">
        <v>0</v>
      </c>
      <c r="L21" s="21" t="n">
        <v>1</v>
      </c>
      <c r="M21" s="21" t="n">
        <v>5</v>
      </c>
      <c r="N21" s="21" t="n">
        <v>2</v>
      </c>
      <c r="O21" s="22" t="n">
        <f aca="false">SUM(J21:N21)</f>
        <v>8</v>
      </c>
      <c r="P21" s="3" t="s">
        <v>401</v>
      </c>
    </row>
    <row r="22" customFormat="false" ht="68.65" hidden="false" customHeight="false" outlineLevel="0" collapsed="false">
      <c r="A22" s="3" t="n">
        <v>18</v>
      </c>
      <c r="B22" s="3" t="s">
        <v>588</v>
      </c>
      <c r="C22" s="3" t="s">
        <v>591</v>
      </c>
      <c r="D22" s="18" t="s">
        <v>12</v>
      </c>
      <c r="E22" s="3" t="s">
        <v>75</v>
      </c>
      <c r="F22" s="3" t="s">
        <v>75</v>
      </c>
      <c r="G22" s="3" t="s">
        <v>596</v>
      </c>
      <c r="H22" s="3" t="s">
        <v>595</v>
      </c>
      <c r="I22" s="3" t="s">
        <v>75</v>
      </c>
      <c r="J22" s="21" t="n">
        <v>0</v>
      </c>
      <c r="K22" s="21" t="n">
        <v>0</v>
      </c>
      <c r="L22" s="21" t="n">
        <v>0</v>
      </c>
      <c r="M22" s="21" t="n">
        <v>5</v>
      </c>
      <c r="N22" s="21" t="n">
        <v>2</v>
      </c>
      <c r="O22" s="22" t="n">
        <f aca="false">SUM(J22:N22)</f>
        <v>7</v>
      </c>
      <c r="P22" s="3" t="s">
        <v>601</v>
      </c>
    </row>
    <row r="23" customFormat="false" ht="113.4" hidden="false" customHeight="false" outlineLevel="0" collapsed="false">
      <c r="A23" s="3" t="n">
        <v>19</v>
      </c>
      <c r="B23" s="3" t="s">
        <v>1157</v>
      </c>
      <c r="C23" s="3" t="s">
        <v>1158</v>
      </c>
      <c r="D23" s="18" t="s">
        <v>12</v>
      </c>
      <c r="E23" s="3" t="s">
        <v>75</v>
      </c>
      <c r="F23" s="3" t="s">
        <v>75</v>
      </c>
      <c r="G23" s="3" t="s">
        <v>1163</v>
      </c>
      <c r="H23" s="3" t="s">
        <v>1162</v>
      </c>
      <c r="I23" s="3" t="s">
        <v>75</v>
      </c>
      <c r="J23" s="21" t="n">
        <v>0</v>
      </c>
      <c r="K23" s="21" t="n">
        <v>0</v>
      </c>
      <c r="L23" s="21" t="n">
        <v>2</v>
      </c>
      <c r="M23" s="21" t="n">
        <v>3</v>
      </c>
      <c r="N23" s="21" t="n">
        <v>2</v>
      </c>
      <c r="O23" s="22" t="n">
        <f aca="false">SUM(J23:N23)</f>
        <v>7</v>
      </c>
      <c r="P23" s="3" t="s">
        <v>1168</v>
      </c>
    </row>
    <row r="24" customFormat="false" ht="79.85" hidden="false" customHeight="false" outlineLevel="0" collapsed="false">
      <c r="A24" s="3" t="n">
        <v>20</v>
      </c>
      <c r="B24" s="3" t="s">
        <v>1384</v>
      </c>
      <c r="C24" s="3" t="s">
        <v>1386</v>
      </c>
      <c r="D24" s="18" t="s">
        <v>12</v>
      </c>
      <c r="E24" s="3" t="s">
        <v>1390</v>
      </c>
      <c r="F24" s="3" t="s">
        <v>75</v>
      </c>
      <c r="G24" s="3" t="s">
        <v>1392</v>
      </c>
      <c r="H24" s="3" t="s">
        <v>1391</v>
      </c>
      <c r="I24" s="3" t="s">
        <v>75</v>
      </c>
      <c r="J24" s="21" t="n">
        <v>2</v>
      </c>
      <c r="K24" s="21" t="n">
        <v>0</v>
      </c>
      <c r="L24" s="21" t="n">
        <v>0</v>
      </c>
      <c r="M24" s="21" t="n">
        <v>3</v>
      </c>
      <c r="N24" s="21" t="n">
        <v>2</v>
      </c>
      <c r="O24" s="22" t="n">
        <f aca="false">SUM(J24:N24)</f>
        <v>7</v>
      </c>
      <c r="P24" s="3" t="s">
        <v>1396</v>
      </c>
    </row>
    <row r="25" customFormat="false" ht="57.45" hidden="false" customHeight="false" outlineLevel="0" collapsed="false">
      <c r="A25" s="3" t="n">
        <v>21</v>
      </c>
      <c r="B25" s="3" t="s">
        <v>388</v>
      </c>
      <c r="C25" s="3" t="s">
        <v>406</v>
      </c>
      <c r="D25" s="16" t="s">
        <v>14</v>
      </c>
      <c r="E25" s="3" t="s">
        <v>75</v>
      </c>
      <c r="F25" s="3" t="s">
        <v>75</v>
      </c>
      <c r="G25" s="3" t="s">
        <v>410</v>
      </c>
      <c r="H25" s="3" t="s">
        <v>409</v>
      </c>
      <c r="I25" s="3" t="s">
        <v>75</v>
      </c>
      <c r="J25" s="21" t="n">
        <v>0</v>
      </c>
      <c r="K25" s="21" t="n">
        <v>0</v>
      </c>
      <c r="L25" s="21" t="n">
        <v>1</v>
      </c>
      <c r="M25" s="21" t="n">
        <v>5</v>
      </c>
      <c r="N25" s="21" t="n">
        <v>1</v>
      </c>
      <c r="O25" s="22" t="n">
        <f aca="false">SUM(J25:N25)</f>
        <v>7</v>
      </c>
      <c r="P25" s="3" t="s">
        <v>413</v>
      </c>
    </row>
    <row r="26" customFormat="false" ht="46.25" hidden="false" customHeight="false" outlineLevel="0" collapsed="false">
      <c r="A26" s="3" t="n">
        <v>22</v>
      </c>
      <c r="B26" s="3" t="s">
        <v>875</v>
      </c>
      <c r="C26" s="3" t="s">
        <v>877</v>
      </c>
      <c r="D26" s="16" t="s">
        <v>14</v>
      </c>
      <c r="E26" s="3" t="s">
        <v>880</v>
      </c>
      <c r="F26" s="3" t="s">
        <v>882</v>
      </c>
      <c r="G26" s="3" t="s">
        <v>881</v>
      </c>
      <c r="H26" s="3" t="s">
        <v>75</v>
      </c>
      <c r="I26" s="3" t="s">
        <v>75</v>
      </c>
      <c r="J26" s="21" t="n">
        <v>2</v>
      </c>
      <c r="K26" s="21" t="n">
        <v>0</v>
      </c>
      <c r="L26" s="21" t="n">
        <v>1</v>
      </c>
      <c r="M26" s="21" t="n">
        <v>3</v>
      </c>
      <c r="N26" s="21" t="n">
        <v>1</v>
      </c>
      <c r="O26" s="22" t="n">
        <f aca="false">SUM(J26:N26)</f>
        <v>7</v>
      </c>
      <c r="P26" s="3" t="s">
        <v>884</v>
      </c>
    </row>
    <row r="27" customFormat="false" ht="113.4" hidden="false" customHeight="false" outlineLevel="0" collapsed="false">
      <c r="A27" s="3" t="n">
        <v>23</v>
      </c>
      <c r="B27" s="3" t="s">
        <v>875</v>
      </c>
      <c r="C27" s="3" t="s">
        <v>898</v>
      </c>
      <c r="D27" s="16" t="s">
        <v>14</v>
      </c>
      <c r="E27" s="3" t="s">
        <v>902</v>
      </c>
      <c r="F27" s="3" t="s">
        <v>75</v>
      </c>
      <c r="G27" s="3" t="s">
        <v>904</v>
      </c>
      <c r="H27" s="3" t="s">
        <v>903</v>
      </c>
      <c r="I27" s="3" t="s">
        <v>75</v>
      </c>
      <c r="J27" s="21" t="n">
        <v>2</v>
      </c>
      <c r="K27" s="21" t="n">
        <v>0</v>
      </c>
      <c r="L27" s="21" t="n">
        <v>1</v>
      </c>
      <c r="M27" s="21" t="n">
        <v>3</v>
      </c>
      <c r="N27" s="21" t="n">
        <v>1</v>
      </c>
      <c r="O27" s="22" t="n">
        <f aca="false">SUM(J27:N27)</f>
        <v>7</v>
      </c>
      <c r="P27" s="3" t="s">
        <v>908</v>
      </c>
    </row>
    <row r="28" customFormat="false" ht="102.2" hidden="false" customHeight="false" outlineLevel="0" collapsed="false">
      <c r="A28" s="3" t="n">
        <v>24</v>
      </c>
      <c r="B28" s="3" t="s">
        <v>955</v>
      </c>
      <c r="C28" s="3" t="s">
        <v>956</v>
      </c>
      <c r="D28" s="16" t="s">
        <v>14</v>
      </c>
      <c r="E28" s="3" t="s">
        <v>75</v>
      </c>
      <c r="F28" s="3" t="s">
        <v>75</v>
      </c>
      <c r="G28" s="3" t="s">
        <v>961</v>
      </c>
      <c r="H28" s="3" t="s">
        <v>960</v>
      </c>
      <c r="I28" s="3" t="s">
        <v>75</v>
      </c>
      <c r="J28" s="21" t="n">
        <v>0</v>
      </c>
      <c r="K28" s="21" t="n">
        <v>0</v>
      </c>
      <c r="L28" s="21" t="n">
        <v>1</v>
      </c>
      <c r="M28" s="21" t="n">
        <v>5</v>
      </c>
      <c r="N28" s="21" t="n">
        <v>1</v>
      </c>
      <c r="O28" s="22" t="n">
        <f aca="false">SUM(J28:N28)</f>
        <v>7</v>
      </c>
      <c r="P28" s="3" t="s">
        <v>964</v>
      </c>
    </row>
    <row r="29" customFormat="false" ht="135.8" hidden="false" customHeight="false" outlineLevel="0" collapsed="false">
      <c r="A29" s="3" t="n">
        <v>25</v>
      </c>
      <c r="B29" s="3" t="s">
        <v>1037</v>
      </c>
      <c r="C29" s="3" t="s">
        <v>1038</v>
      </c>
      <c r="D29" s="16" t="s">
        <v>14</v>
      </c>
      <c r="E29" s="3" t="s">
        <v>1042</v>
      </c>
      <c r="F29" s="3" t="s">
        <v>75</v>
      </c>
      <c r="G29" s="3" t="s">
        <v>1044</v>
      </c>
      <c r="H29" s="3" t="s">
        <v>1043</v>
      </c>
      <c r="I29" s="3" t="s">
        <v>75</v>
      </c>
      <c r="J29" s="21" t="n">
        <v>2</v>
      </c>
      <c r="K29" s="21" t="n">
        <v>0</v>
      </c>
      <c r="L29" s="21" t="n">
        <v>1</v>
      </c>
      <c r="M29" s="21" t="n">
        <v>3</v>
      </c>
      <c r="N29" s="21" t="n">
        <v>1</v>
      </c>
      <c r="O29" s="22" t="n">
        <f aca="false">SUM(J29:N29)</f>
        <v>7</v>
      </c>
      <c r="P29" s="3" t="s">
        <v>1048</v>
      </c>
    </row>
    <row r="30" customFormat="false" ht="57.45" hidden="false" customHeight="false" outlineLevel="0" collapsed="false">
      <c r="A30" s="3" t="n">
        <v>26</v>
      </c>
      <c r="B30" s="3" t="s">
        <v>1077</v>
      </c>
      <c r="C30" s="3" t="s">
        <v>1078</v>
      </c>
      <c r="D30" s="16" t="s">
        <v>14</v>
      </c>
      <c r="E30" s="3" t="s">
        <v>75</v>
      </c>
      <c r="F30" s="3" t="s">
        <v>75</v>
      </c>
      <c r="G30" s="3" t="s">
        <v>1082</v>
      </c>
      <c r="H30" s="3" t="s">
        <v>1081</v>
      </c>
      <c r="I30" s="3" t="s">
        <v>75</v>
      </c>
      <c r="J30" s="21" t="n">
        <v>0</v>
      </c>
      <c r="K30" s="21" t="n">
        <v>0</v>
      </c>
      <c r="L30" s="21" t="n">
        <v>1</v>
      </c>
      <c r="M30" s="21" t="n">
        <v>5</v>
      </c>
      <c r="N30" s="21" t="n">
        <v>1</v>
      </c>
      <c r="O30" s="22" t="n">
        <f aca="false">SUM(J30:N30)</f>
        <v>7</v>
      </c>
      <c r="P30" s="3" t="s">
        <v>1084</v>
      </c>
    </row>
    <row r="31" customFormat="false" ht="57.45" hidden="false" customHeight="false" outlineLevel="0" collapsed="false">
      <c r="A31" s="3" t="n">
        <v>27</v>
      </c>
      <c r="B31" s="3" t="s">
        <v>1478</v>
      </c>
      <c r="C31" s="3" t="s">
        <v>1479</v>
      </c>
      <c r="D31" s="16" t="s">
        <v>14</v>
      </c>
      <c r="E31" s="3" t="s">
        <v>1483</v>
      </c>
      <c r="F31" s="3" t="s">
        <v>1487</v>
      </c>
      <c r="G31" s="3" t="s">
        <v>1485</v>
      </c>
      <c r="H31" s="3" t="s">
        <v>1484</v>
      </c>
      <c r="I31" s="3" t="s">
        <v>75</v>
      </c>
      <c r="J31" s="21" t="n">
        <v>2</v>
      </c>
      <c r="K31" s="21" t="n">
        <v>0</v>
      </c>
      <c r="L31" s="21" t="n">
        <v>1</v>
      </c>
      <c r="M31" s="21" t="n">
        <v>3</v>
      </c>
      <c r="N31" s="21" t="n">
        <v>1</v>
      </c>
      <c r="O31" s="22" t="n">
        <f aca="false">SUM(J31:N31)</f>
        <v>7</v>
      </c>
      <c r="P31" s="3" t="s">
        <v>1490</v>
      </c>
    </row>
    <row r="32" customFormat="false" ht="57.45" hidden="false" customHeight="false" outlineLevel="0" collapsed="false">
      <c r="A32" s="3" t="n">
        <v>28</v>
      </c>
      <c r="B32" s="3" t="s">
        <v>437</v>
      </c>
      <c r="C32" s="3" t="s">
        <v>456</v>
      </c>
      <c r="D32" s="18" t="s">
        <v>12</v>
      </c>
      <c r="E32" s="3" t="s">
        <v>75</v>
      </c>
      <c r="F32" s="3" t="s">
        <v>75</v>
      </c>
      <c r="G32" s="3" t="s">
        <v>460</v>
      </c>
      <c r="H32" s="3" t="s">
        <v>459</v>
      </c>
      <c r="I32" s="3" t="s">
        <v>75</v>
      </c>
      <c r="J32" s="21" t="n">
        <v>0</v>
      </c>
      <c r="K32" s="21" t="n">
        <v>0</v>
      </c>
      <c r="L32" s="21" t="n">
        <v>1</v>
      </c>
      <c r="M32" s="21" t="n">
        <v>3</v>
      </c>
      <c r="N32" s="21" t="n">
        <v>2</v>
      </c>
      <c r="O32" s="22" t="n">
        <f aca="false">SUM(J32:N32)</f>
        <v>6</v>
      </c>
      <c r="P32" s="3" t="s">
        <v>462</v>
      </c>
    </row>
    <row r="33" customFormat="false" ht="91" hidden="false" customHeight="false" outlineLevel="0" collapsed="false">
      <c r="A33" s="3" t="n">
        <v>29</v>
      </c>
      <c r="B33" s="3" t="s">
        <v>437</v>
      </c>
      <c r="C33" s="3" t="s">
        <v>467</v>
      </c>
      <c r="D33" s="18" t="s">
        <v>12</v>
      </c>
      <c r="E33" s="3" t="s">
        <v>471</v>
      </c>
      <c r="F33" s="3" t="s">
        <v>75</v>
      </c>
      <c r="G33" s="3" t="s">
        <v>75</v>
      </c>
      <c r="H33" s="3" t="s">
        <v>472</v>
      </c>
      <c r="I33" s="3" t="s">
        <v>75</v>
      </c>
      <c r="J33" s="21" t="n">
        <v>2</v>
      </c>
      <c r="K33" s="21" t="n">
        <v>0</v>
      </c>
      <c r="L33" s="21" t="n">
        <v>1</v>
      </c>
      <c r="M33" s="21" t="n">
        <v>1</v>
      </c>
      <c r="N33" s="21" t="n">
        <v>2</v>
      </c>
      <c r="O33" s="22" t="n">
        <f aca="false">SUM(J33:N33)</f>
        <v>6</v>
      </c>
      <c r="P33" s="3" t="s">
        <v>475</v>
      </c>
    </row>
    <row r="34" customFormat="false" ht="46.25" hidden="false" customHeight="false" outlineLevel="0" collapsed="false">
      <c r="A34" s="3" t="n">
        <v>30</v>
      </c>
      <c r="B34" s="3" t="s">
        <v>437</v>
      </c>
      <c r="C34" s="3" t="s">
        <v>481</v>
      </c>
      <c r="D34" s="18" t="s">
        <v>12</v>
      </c>
      <c r="E34" s="3" t="s">
        <v>75</v>
      </c>
      <c r="F34" s="3" t="s">
        <v>75</v>
      </c>
      <c r="G34" s="3" t="s">
        <v>75</v>
      </c>
      <c r="H34" s="3" t="s">
        <v>485</v>
      </c>
      <c r="I34" s="3" t="s">
        <v>75</v>
      </c>
      <c r="J34" s="21" t="n">
        <v>0</v>
      </c>
      <c r="K34" s="21" t="n">
        <v>0</v>
      </c>
      <c r="L34" s="21" t="n">
        <v>1</v>
      </c>
      <c r="M34" s="21" t="n">
        <v>3</v>
      </c>
      <c r="N34" s="21" t="n">
        <v>2</v>
      </c>
      <c r="O34" s="22" t="n">
        <f aca="false">SUM(J34:N34)</f>
        <v>6</v>
      </c>
      <c r="P34" s="3" t="s">
        <v>489</v>
      </c>
    </row>
    <row r="35" customFormat="false" ht="68.65" hidden="false" customHeight="false" outlineLevel="0" collapsed="false">
      <c r="A35" s="3" t="n">
        <v>31</v>
      </c>
      <c r="B35" s="3" t="s">
        <v>1157</v>
      </c>
      <c r="C35" s="3" t="s">
        <v>1173</v>
      </c>
      <c r="D35" s="18" t="s">
        <v>12</v>
      </c>
      <c r="E35" s="3" t="s">
        <v>75</v>
      </c>
      <c r="F35" s="3" t="s">
        <v>75</v>
      </c>
      <c r="G35" s="3" t="s">
        <v>1177</v>
      </c>
      <c r="H35" s="3" t="s">
        <v>1176</v>
      </c>
      <c r="I35" s="3" t="s">
        <v>75</v>
      </c>
      <c r="J35" s="21" t="n">
        <v>0</v>
      </c>
      <c r="K35" s="21" t="n">
        <v>0</v>
      </c>
      <c r="L35" s="21" t="n">
        <v>1</v>
      </c>
      <c r="M35" s="21" t="n">
        <v>3</v>
      </c>
      <c r="N35" s="21" t="n">
        <v>2</v>
      </c>
      <c r="O35" s="22" t="n">
        <f aca="false">SUM(J35:N35)</f>
        <v>6</v>
      </c>
      <c r="P35" s="3" t="s">
        <v>1180</v>
      </c>
    </row>
    <row r="36" customFormat="false" ht="79.85" hidden="false" customHeight="false" outlineLevel="0" collapsed="false">
      <c r="A36" s="3" t="n">
        <v>32</v>
      </c>
      <c r="B36" s="3" t="s">
        <v>305</v>
      </c>
      <c r="C36" s="3" t="s">
        <v>307</v>
      </c>
      <c r="D36" s="16" t="s">
        <v>14</v>
      </c>
      <c r="E36" s="3" t="s">
        <v>75</v>
      </c>
      <c r="F36" s="3" t="s">
        <v>75</v>
      </c>
      <c r="G36" s="3" t="s">
        <v>311</v>
      </c>
      <c r="H36" s="3" t="s">
        <v>75</v>
      </c>
      <c r="I36" s="3" t="s">
        <v>75</v>
      </c>
      <c r="J36" s="21" t="n">
        <v>0</v>
      </c>
      <c r="K36" s="21" t="n">
        <v>0</v>
      </c>
      <c r="L36" s="21" t="n">
        <v>4</v>
      </c>
      <c r="M36" s="21" t="n">
        <v>1</v>
      </c>
      <c r="N36" s="21" t="n">
        <v>1</v>
      </c>
      <c r="O36" s="22" t="n">
        <f aca="false">SUM(J36:N36)</f>
        <v>6</v>
      </c>
      <c r="P36" s="3" t="s">
        <v>315</v>
      </c>
    </row>
    <row r="37" customFormat="false" ht="46.25" hidden="false" customHeight="false" outlineLevel="0" collapsed="false">
      <c r="A37" s="3" t="n">
        <v>33</v>
      </c>
      <c r="B37" s="3" t="s">
        <v>1137</v>
      </c>
      <c r="C37" s="3" t="s">
        <v>1138</v>
      </c>
      <c r="D37" s="18" t="s">
        <v>12</v>
      </c>
      <c r="E37" s="3" t="s">
        <v>75</v>
      </c>
      <c r="F37" s="3" t="s">
        <v>75</v>
      </c>
      <c r="G37" s="3" t="s">
        <v>1143</v>
      </c>
      <c r="H37" s="3" t="s">
        <v>1142</v>
      </c>
      <c r="I37" s="3" t="s">
        <v>75</v>
      </c>
      <c r="J37" s="21" t="n">
        <v>0</v>
      </c>
      <c r="K37" s="21" t="n">
        <v>0</v>
      </c>
      <c r="L37" s="21" t="n">
        <v>0</v>
      </c>
      <c r="M37" s="21" t="n">
        <v>3</v>
      </c>
      <c r="N37" s="21" t="n">
        <v>2</v>
      </c>
      <c r="O37" s="22" t="n">
        <f aca="false">SUM(J37:N37)</f>
        <v>5</v>
      </c>
      <c r="P37" s="3" t="s">
        <v>1146</v>
      </c>
    </row>
    <row r="38" customFormat="false" ht="113.4" hidden="false" customHeight="false" outlineLevel="0" collapsed="false">
      <c r="A38" s="3" t="n">
        <v>34</v>
      </c>
      <c r="B38" s="3" t="s">
        <v>1334</v>
      </c>
      <c r="C38" s="3" t="s">
        <v>1335</v>
      </c>
      <c r="D38" s="18" t="s">
        <v>12</v>
      </c>
      <c r="E38" s="3" t="s">
        <v>75</v>
      </c>
      <c r="F38" s="3" t="s">
        <v>75</v>
      </c>
      <c r="G38" s="3" t="s">
        <v>1340</v>
      </c>
      <c r="H38" s="3" t="s">
        <v>1339</v>
      </c>
      <c r="I38" s="3" t="s">
        <v>75</v>
      </c>
      <c r="J38" s="21" t="n">
        <v>0</v>
      </c>
      <c r="K38" s="21" t="n">
        <v>0</v>
      </c>
      <c r="L38" s="21" t="n">
        <v>0</v>
      </c>
      <c r="M38" s="21" t="n">
        <v>3</v>
      </c>
      <c r="N38" s="21" t="n">
        <v>2</v>
      </c>
      <c r="O38" s="22" t="n">
        <f aca="false">SUM(J38:N38)</f>
        <v>5</v>
      </c>
      <c r="P38" s="3" t="s">
        <v>1342</v>
      </c>
    </row>
    <row r="39" customFormat="false" ht="35.05" hidden="false" customHeight="false" outlineLevel="0" collapsed="false">
      <c r="A39" s="3" t="n">
        <v>35</v>
      </c>
      <c r="B39" s="3" t="s">
        <v>82</v>
      </c>
      <c r="C39" s="3" t="s">
        <v>84</v>
      </c>
      <c r="D39" s="16" t="s">
        <v>14</v>
      </c>
      <c r="E39" s="3" t="s">
        <v>75</v>
      </c>
      <c r="F39" s="3" t="s">
        <v>75</v>
      </c>
      <c r="G39" s="3" t="s">
        <v>75</v>
      </c>
      <c r="H39" s="3" t="s">
        <v>75</v>
      </c>
      <c r="I39" s="3" t="s">
        <v>75</v>
      </c>
      <c r="J39" s="21" t="n">
        <v>0</v>
      </c>
      <c r="K39" s="21" t="n">
        <v>0</v>
      </c>
      <c r="L39" s="21" t="n">
        <v>1</v>
      </c>
      <c r="M39" s="21" t="n">
        <v>3</v>
      </c>
      <c r="N39" s="21" t="n">
        <v>1</v>
      </c>
      <c r="O39" s="22" t="n">
        <f aca="false">SUM(J39:N39)</f>
        <v>5</v>
      </c>
      <c r="P39" s="3" t="s">
        <v>87</v>
      </c>
    </row>
    <row r="40" customFormat="false" ht="79.85" hidden="false" customHeight="false" outlineLevel="0" collapsed="false">
      <c r="A40" s="3" t="n">
        <v>36</v>
      </c>
      <c r="B40" s="3" t="s">
        <v>437</v>
      </c>
      <c r="C40" s="3" t="s">
        <v>493</v>
      </c>
      <c r="D40" s="16" t="s">
        <v>14</v>
      </c>
      <c r="E40" s="3" t="s">
        <v>75</v>
      </c>
      <c r="F40" s="3" t="s">
        <v>75</v>
      </c>
      <c r="G40" s="3" t="s">
        <v>460</v>
      </c>
      <c r="H40" s="3" t="s">
        <v>496</v>
      </c>
      <c r="I40" s="3" t="s">
        <v>75</v>
      </c>
      <c r="J40" s="21" t="n">
        <v>0</v>
      </c>
      <c r="K40" s="21" t="n">
        <v>0</v>
      </c>
      <c r="L40" s="21" t="n">
        <v>1</v>
      </c>
      <c r="M40" s="21" t="n">
        <v>3</v>
      </c>
      <c r="N40" s="21" t="n">
        <v>1</v>
      </c>
      <c r="O40" s="22" t="n">
        <f aca="false">SUM(J40:N40)</f>
        <v>5</v>
      </c>
      <c r="P40" s="3" t="s">
        <v>498</v>
      </c>
    </row>
    <row r="41" customFormat="false" ht="57.45" hidden="false" customHeight="false" outlineLevel="0" collapsed="false">
      <c r="A41" s="3" t="n">
        <v>37</v>
      </c>
      <c r="B41" s="3" t="s">
        <v>437</v>
      </c>
      <c r="C41" s="3" t="s">
        <v>501</v>
      </c>
      <c r="D41" s="16" t="s">
        <v>14</v>
      </c>
      <c r="E41" s="3" t="s">
        <v>75</v>
      </c>
      <c r="F41" s="3" t="s">
        <v>75</v>
      </c>
      <c r="G41" s="3" t="s">
        <v>460</v>
      </c>
      <c r="H41" s="3" t="s">
        <v>459</v>
      </c>
      <c r="I41" s="3" t="s">
        <v>75</v>
      </c>
      <c r="J41" s="21" t="n">
        <v>0</v>
      </c>
      <c r="K41" s="21" t="n">
        <v>0</v>
      </c>
      <c r="L41" s="21" t="n">
        <v>1</v>
      </c>
      <c r="M41" s="21" t="n">
        <v>3</v>
      </c>
      <c r="N41" s="21" t="n">
        <v>1</v>
      </c>
      <c r="O41" s="22" t="n">
        <f aca="false">SUM(J41:N41)</f>
        <v>5</v>
      </c>
      <c r="P41" s="3" t="s">
        <v>503</v>
      </c>
    </row>
    <row r="42" customFormat="false" ht="46.25" hidden="false" customHeight="false" outlineLevel="0" collapsed="false">
      <c r="A42" s="3" t="n">
        <v>38</v>
      </c>
      <c r="B42" s="3" t="s">
        <v>875</v>
      </c>
      <c r="C42" s="3" t="s">
        <v>888</v>
      </c>
      <c r="D42" s="16" t="s">
        <v>14</v>
      </c>
      <c r="E42" s="3" t="s">
        <v>471</v>
      </c>
      <c r="F42" s="3" t="s">
        <v>75</v>
      </c>
      <c r="G42" s="3" t="s">
        <v>891</v>
      </c>
      <c r="H42" s="3" t="s">
        <v>75</v>
      </c>
      <c r="I42" s="3" t="s">
        <v>75</v>
      </c>
      <c r="J42" s="21" t="n">
        <v>2</v>
      </c>
      <c r="K42" s="21" t="n">
        <v>0</v>
      </c>
      <c r="L42" s="21" t="n">
        <v>1</v>
      </c>
      <c r="M42" s="21" t="n">
        <v>1</v>
      </c>
      <c r="N42" s="21" t="n">
        <v>1</v>
      </c>
      <c r="O42" s="22" t="n">
        <f aca="false">SUM(J42:N42)</f>
        <v>5</v>
      </c>
      <c r="P42" s="3" t="s">
        <v>894</v>
      </c>
    </row>
    <row r="43" customFormat="false" ht="57.45" hidden="false" customHeight="false" outlineLevel="0" collapsed="false">
      <c r="A43" s="3" t="n">
        <v>39</v>
      </c>
      <c r="B43" s="3" t="s">
        <v>1236</v>
      </c>
      <c r="C43" s="3" t="s">
        <v>1250</v>
      </c>
      <c r="D43" s="16" t="s">
        <v>14</v>
      </c>
      <c r="E43" s="3" t="s">
        <v>75</v>
      </c>
      <c r="F43" s="3" t="s">
        <v>75</v>
      </c>
      <c r="G43" s="3" t="s">
        <v>1254</v>
      </c>
      <c r="H43" s="3" t="s">
        <v>1253</v>
      </c>
      <c r="I43" s="3" t="s">
        <v>75</v>
      </c>
      <c r="J43" s="21" t="n">
        <v>0</v>
      </c>
      <c r="K43" s="21" t="n">
        <v>0</v>
      </c>
      <c r="L43" s="21" t="n">
        <v>0</v>
      </c>
      <c r="M43" s="21" t="n">
        <v>4</v>
      </c>
      <c r="N43" s="21" t="n">
        <v>1</v>
      </c>
      <c r="O43" s="22" t="n">
        <f aca="false">SUM(J43:N43)</f>
        <v>5</v>
      </c>
      <c r="P43" s="3" t="s">
        <v>1258</v>
      </c>
    </row>
    <row r="44" customFormat="false" ht="23.85" hidden="false" customHeight="false" outlineLevel="0" collapsed="false">
      <c r="A44" s="3" t="n">
        <v>40</v>
      </c>
      <c r="B44" s="3" t="s">
        <v>1236</v>
      </c>
      <c r="C44" s="3" t="s">
        <v>1263</v>
      </c>
      <c r="D44" s="16" t="s">
        <v>14</v>
      </c>
      <c r="E44" s="3" t="s">
        <v>75</v>
      </c>
      <c r="F44" s="3" t="s">
        <v>75</v>
      </c>
      <c r="G44" s="3" t="s">
        <v>1267</v>
      </c>
      <c r="H44" s="3" t="s">
        <v>75</v>
      </c>
      <c r="I44" s="3" t="s">
        <v>75</v>
      </c>
      <c r="J44" s="21" t="n">
        <v>0</v>
      </c>
      <c r="K44" s="21" t="n">
        <v>0</v>
      </c>
      <c r="L44" s="21" t="n">
        <v>1</v>
      </c>
      <c r="M44" s="21" t="n">
        <v>3</v>
      </c>
      <c r="N44" s="21" t="n">
        <v>1</v>
      </c>
      <c r="O44" s="22" t="n">
        <f aca="false">SUM(J44:N44)</f>
        <v>5</v>
      </c>
      <c r="P44" s="3" t="s">
        <v>1270</v>
      </c>
    </row>
    <row r="45" customFormat="false" ht="35.05" hidden="false" customHeight="false" outlineLevel="0" collapsed="false">
      <c r="A45" s="3" t="n">
        <v>41</v>
      </c>
      <c r="B45" s="3" t="s">
        <v>1236</v>
      </c>
      <c r="C45" s="3" t="s">
        <v>1273</v>
      </c>
      <c r="D45" s="16" t="s">
        <v>14</v>
      </c>
      <c r="E45" s="3" t="s">
        <v>75</v>
      </c>
      <c r="F45" s="3" t="s">
        <v>75</v>
      </c>
      <c r="G45" s="3" t="s">
        <v>1267</v>
      </c>
      <c r="H45" s="3" t="s">
        <v>75</v>
      </c>
      <c r="I45" s="3" t="s">
        <v>75</v>
      </c>
      <c r="J45" s="21" t="n">
        <v>0</v>
      </c>
      <c r="K45" s="21" t="n">
        <v>0</v>
      </c>
      <c r="L45" s="21" t="n">
        <v>1</v>
      </c>
      <c r="M45" s="21" t="n">
        <v>3</v>
      </c>
      <c r="N45" s="21" t="n">
        <v>1</v>
      </c>
      <c r="O45" s="22" t="n">
        <f aca="false">SUM(J45:N45)</f>
        <v>5</v>
      </c>
      <c r="P45" s="3" t="s">
        <v>1278</v>
      </c>
    </row>
    <row r="46" customFormat="false" ht="102.2" hidden="false" customHeight="false" outlineLevel="0" collapsed="false">
      <c r="A46" s="3" t="n">
        <v>42</v>
      </c>
      <c r="B46" s="3" t="s">
        <v>1236</v>
      </c>
      <c r="C46" s="3" t="s">
        <v>1281</v>
      </c>
      <c r="D46" s="16" t="s">
        <v>14</v>
      </c>
      <c r="E46" s="3" t="s">
        <v>75</v>
      </c>
      <c r="F46" s="3" t="s">
        <v>75</v>
      </c>
      <c r="G46" s="3" t="s">
        <v>1286</v>
      </c>
      <c r="H46" s="3" t="s">
        <v>1285</v>
      </c>
      <c r="I46" s="3" t="s">
        <v>75</v>
      </c>
      <c r="J46" s="21" t="n">
        <v>0</v>
      </c>
      <c r="K46" s="21" t="n">
        <v>0</v>
      </c>
      <c r="L46" s="21" t="n">
        <v>1</v>
      </c>
      <c r="M46" s="21" t="n">
        <v>3</v>
      </c>
      <c r="N46" s="21" t="n">
        <v>1</v>
      </c>
      <c r="O46" s="22" t="n">
        <f aca="false">SUM(J46:N46)</f>
        <v>5</v>
      </c>
      <c r="P46" s="3" t="s">
        <v>1288</v>
      </c>
    </row>
    <row r="47" customFormat="false" ht="79.85" hidden="false" customHeight="false" outlineLevel="0" collapsed="false">
      <c r="A47" s="3" t="n">
        <v>43</v>
      </c>
      <c r="B47" s="3" t="s">
        <v>1550</v>
      </c>
      <c r="C47" s="3" t="s">
        <v>1552</v>
      </c>
      <c r="D47" s="18" t="s">
        <v>12</v>
      </c>
      <c r="E47" s="3" t="s">
        <v>75</v>
      </c>
      <c r="F47" s="3" t="s">
        <v>75</v>
      </c>
      <c r="G47" s="3" t="s">
        <v>1556</v>
      </c>
      <c r="H47" s="3" t="s">
        <v>75</v>
      </c>
      <c r="I47" s="3" t="s">
        <v>75</v>
      </c>
      <c r="J47" s="21" t="n">
        <v>0</v>
      </c>
      <c r="K47" s="21" t="n">
        <v>0</v>
      </c>
      <c r="L47" s="21" t="n">
        <v>1</v>
      </c>
      <c r="M47" s="21" t="n">
        <v>1</v>
      </c>
      <c r="N47" s="21" t="n">
        <v>2</v>
      </c>
      <c r="O47" s="22" t="n">
        <f aca="false">SUM(J47:N47)</f>
        <v>4</v>
      </c>
      <c r="P47" s="3" t="s">
        <v>1559</v>
      </c>
    </row>
    <row r="48" customFormat="false" ht="46.25" hidden="false" customHeight="false" outlineLevel="0" collapsed="false">
      <c r="A48" s="3" t="n">
        <v>44</v>
      </c>
      <c r="B48" s="3" t="s">
        <v>718</v>
      </c>
      <c r="C48" s="3" t="s">
        <v>720</v>
      </c>
      <c r="D48" s="16" t="s">
        <v>14</v>
      </c>
      <c r="E48" s="3" t="s">
        <v>75</v>
      </c>
      <c r="F48" s="3" t="s">
        <v>75</v>
      </c>
      <c r="G48" s="3" t="s">
        <v>725</v>
      </c>
      <c r="H48" s="3" t="s">
        <v>724</v>
      </c>
      <c r="I48" s="3" t="s">
        <v>75</v>
      </c>
      <c r="J48" s="21" t="n">
        <v>0</v>
      </c>
      <c r="K48" s="21" t="n">
        <v>0</v>
      </c>
      <c r="L48" s="21" t="n">
        <v>1</v>
      </c>
      <c r="M48" s="21" t="n">
        <v>2</v>
      </c>
      <c r="N48" s="21" t="n">
        <v>1</v>
      </c>
      <c r="O48" s="22" t="n">
        <f aca="false">SUM(J48:N48)</f>
        <v>4</v>
      </c>
      <c r="P48" s="3" t="s">
        <v>727</v>
      </c>
    </row>
    <row r="49" customFormat="false" ht="79.85" hidden="false" customHeight="false" outlineLevel="0" collapsed="false">
      <c r="A49" s="3" t="n">
        <v>45</v>
      </c>
      <c r="B49" s="3" t="s">
        <v>388</v>
      </c>
      <c r="C49" s="3" t="s">
        <v>416</v>
      </c>
      <c r="D49" s="16" t="s">
        <v>14</v>
      </c>
      <c r="E49" s="3" t="s">
        <v>75</v>
      </c>
      <c r="F49" s="3" t="s">
        <v>75</v>
      </c>
      <c r="G49" s="3" t="s">
        <v>420</v>
      </c>
      <c r="H49" s="3" t="s">
        <v>419</v>
      </c>
      <c r="I49" s="3" t="s">
        <v>75</v>
      </c>
      <c r="J49" s="21" t="n">
        <v>0</v>
      </c>
      <c r="K49" s="21" t="n">
        <v>0</v>
      </c>
      <c r="L49" s="21" t="n">
        <v>1</v>
      </c>
      <c r="M49" s="21" t="n">
        <v>1</v>
      </c>
      <c r="N49" s="21" t="n">
        <v>1</v>
      </c>
      <c r="O49" s="22" t="n">
        <f aca="false">SUM(J49:N49)</f>
        <v>3</v>
      </c>
      <c r="P49" s="3" t="s">
        <v>422</v>
      </c>
    </row>
  </sheetData>
  <mergeCells count="1">
    <mergeCell ref="A2:P2"/>
  </mergeCells>
  <hyperlinks>
    <hyperlink ref="I6" r:id="rId1" display="https://careers.arena.run/companies/the-outreach-team-2/jobs/48573140-petitioner-help-expand-medicaid-in-florida (2025 posting for the 2026 drive; current status unknown)"/>
    <hyperlink ref="I7" r:id="rId2" display="https://urban-signers-llc.careerplug.com/jobs/336585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
    <col collapsed="false" customWidth="true" hidden="false" outlineLevel="0" max="5" min="3" style="0" width="12"/>
    <col collapsed="false" customWidth="true" hidden="false" outlineLevel="0" max="6" min="6" style="0" width="10"/>
    <col collapsed="false" customWidth="true" hidden="false" outlineLevel="0" max="8" min="7" style="0" width="12"/>
    <col collapsed="false" customWidth="true" hidden="false" outlineLevel="0" max="10" min="9" style="0" width="10"/>
    <col collapsed="false" customWidth="true" hidden="false" outlineLevel="0" max="11" min="11" style="0" width="50"/>
  </cols>
  <sheetData>
    <row r="1" customFormat="false" ht="30" hidden="false" customHeight="true" outlineLevel="0" collapsed="false">
      <c r="A1" s="11" t="s">
        <v>41</v>
      </c>
      <c r="B1" s="11" t="s">
        <v>1582</v>
      </c>
      <c r="C1" s="11" t="s">
        <v>8</v>
      </c>
      <c r="D1" s="11" t="s">
        <v>10</v>
      </c>
      <c r="E1" s="11" t="s">
        <v>12</v>
      </c>
      <c r="F1" s="11" t="s">
        <v>14</v>
      </c>
      <c r="G1" s="11" t="s">
        <v>16</v>
      </c>
      <c r="H1" s="11" t="s">
        <v>18</v>
      </c>
      <c r="I1" s="11" t="s">
        <v>1583</v>
      </c>
      <c r="J1" s="11" t="s">
        <v>1584</v>
      </c>
      <c r="K1" s="11" t="s">
        <v>1585</v>
      </c>
    </row>
    <row r="2" customFormat="false" ht="15" hidden="false" customHeight="false" outlineLevel="0" collapsed="false">
      <c r="A2" s="23" t="s">
        <v>69</v>
      </c>
      <c r="B2" s="23" t="s">
        <v>1586</v>
      </c>
      <c r="C2" s="23" t="n">
        <f aca="false">COUNTIFS(Database!$B:$B,$A2,Database!$J:$J,"Confirmed active paid")</f>
        <v>0</v>
      </c>
      <c r="D2" s="23" t="n">
        <f aca="false">COUNTIFS(Database!$B:$B,$A2,Database!$J:$J,"Strong evidence active paid")</f>
        <v>0</v>
      </c>
      <c r="E2" s="23" t="n">
        <f aca="false">COUNTIFS(Database!$B:$B,$A2,Database!$J:$J,"Active – paid unconfirmed")</f>
        <v>0</v>
      </c>
      <c r="F2" s="23" t="n">
        <f aca="false">COUNTIFS(Database!$B:$B,$A2,Database!$J:$J,"Upcoming")</f>
        <v>0</v>
      </c>
      <c r="G2" s="23" t="n">
        <f aca="false">COUNTIFS(Database!$B:$B,$A2,Database!$J:$J,"Completed/Expired")</f>
        <v>0</v>
      </c>
      <c r="H2" s="23" t="n">
        <f aca="false">COUNTIFS(Database!$B:$B,$A2,Database!$J:$J,"No verified project")</f>
        <v>1</v>
      </c>
      <c r="I2" s="2" t="n">
        <f aca="false">SUM(C2:H2)</f>
        <v>1</v>
      </c>
      <c r="J2" s="24" t="n">
        <f aca="false">SUM(C2:F2)</f>
        <v>0</v>
      </c>
      <c r="K2" s="23" t="str">
        <f aca="false">IF(I2=0,"Not yet researched",IF(H2&gt;0,"Searched — nothing verified (gap)",""))</f>
        <v>Searched — nothing verified (gap)</v>
      </c>
    </row>
    <row r="3" customFormat="false" ht="15" hidden="false" customHeight="false" outlineLevel="0" collapsed="false">
      <c r="A3" s="23" t="s">
        <v>82</v>
      </c>
      <c r="B3" s="23" t="s">
        <v>1587</v>
      </c>
      <c r="C3" s="23" t="n">
        <f aca="false">COUNTIFS(Database!$B:$B,$A3,Database!$J:$J,"Confirmed active paid")</f>
        <v>0</v>
      </c>
      <c r="D3" s="23" t="n">
        <f aca="false">COUNTIFS(Database!$B:$B,$A3,Database!$J:$J,"Strong evidence active paid")</f>
        <v>0</v>
      </c>
      <c r="E3" s="23" t="n">
        <f aca="false">COUNTIFS(Database!$B:$B,$A3,Database!$J:$J,"Active – paid unconfirmed")</f>
        <v>0</v>
      </c>
      <c r="F3" s="23" t="n">
        <f aca="false">COUNTIFS(Database!$B:$B,$A3,Database!$J:$J,"Upcoming")</f>
        <v>1</v>
      </c>
      <c r="G3" s="23" t="n">
        <f aca="false">COUNTIFS(Database!$B:$B,$A3,Database!$J:$J,"Completed/Expired")</f>
        <v>2</v>
      </c>
      <c r="H3" s="23" t="n">
        <f aca="false">COUNTIFS(Database!$B:$B,$A3,Database!$J:$J,"No verified project")</f>
        <v>0</v>
      </c>
      <c r="I3" s="2" t="n">
        <f aca="false">SUM(C3:H3)</f>
        <v>3</v>
      </c>
      <c r="J3" s="24" t="n">
        <f aca="false">SUM(C3:F3)</f>
        <v>1</v>
      </c>
      <c r="K3" s="23" t="str">
        <f aca="false">IF(I3=0,"Not yet researched",IF(H3&gt;0,"Searched — nothing verified (gap)",""))</f>
        <v/>
      </c>
    </row>
    <row r="4" customFormat="false" ht="15" hidden="false" customHeight="false" outlineLevel="0" collapsed="false">
      <c r="A4" s="23" t="s">
        <v>110</v>
      </c>
      <c r="B4" s="23" t="s">
        <v>1588</v>
      </c>
      <c r="C4" s="23" t="n">
        <f aca="false">COUNTIFS(Database!$B:$B,$A4,Database!$J:$J,"Confirmed active paid")</f>
        <v>0</v>
      </c>
      <c r="D4" s="23" t="n">
        <f aca="false">COUNTIFS(Database!$B:$B,$A4,Database!$J:$J,"Strong evidence active paid")</f>
        <v>0</v>
      </c>
      <c r="E4" s="23" t="n">
        <f aca="false">COUNTIFS(Database!$B:$B,$A4,Database!$J:$J,"Active – paid unconfirmed")</f>
        <v>0</v>
      </c>
      <c r="F4" s="23" t="n">
        <f aca="false">COUNTIFS(Database!$B:$B,$A4,Database!$J:$J,"Upcoming")</f>
        <v>0</v>
      </c>
      <c r="G4" s="23" t="n">
        <f aca="false">COUNTIFS(Database!$B:$B,$A4,Database!$J:$J,"Completed/Expired")</f>
        <v>5</v>
      </c>
      <c r="H4" s="23" t="n">
        <f aca="false">COUNTIFS(Database!$B:$B,$A4,Database!$J:$J,"No verified project")</f>
        <v>0</v>
      </c>
      <c r="I4" s="2" t="n">
        <f aca="false">SUM(C4:H4)</f>
        <v>5</v>
      </c>
      <c r="J4" s="24" t="n">
        <f aca="false">SUM(C4:F4)</f>
        <v>0</v>
      </c>
      <c r="K4" s="23" t="str">
        <f aca="false">IF(I4=0,"Not yet researched",IF(H4&gt;0,"Searched — nothing verified (gap)",""))</f>
        <v/>
      </c>
    </row>
    <row r="5" customFormat="false" ht="15" hidden="false" customHeight="false" outlineLevel="0" collapsed="false">
      <c r="A5" s="23" t="s">
        <v>170</v>
      </c>
      <c r="B5" s="23" t="s">
        <v>1589</v>
      </c>
      <c r="C5" s="23" t="n">
        <f aca="false">COUNTIFS(Database!$B:$B,$A5,Database!$J:$J,"Confirmed active paid")</f>
        <v>0</v>
      </c>
      <c r="D5" s="23" t="n">
        <f aca="false">COUNTIFS(Database!$B:$B,$A5,Database!$J:$J,"Strong evidence active paid")</f>
        <v>0</v>
      </c>
      <c r="E5" s="23" t="n">
        <f aca="false">COUNTIFS(Database!$B:$B,$A5,Database!$J:$J,"Active – paid unconfirmed")</f>
        <v>0</v>
      </c>
      <c r="F5" s="23" t="n">
        <f aca="false">COUNTIFS(Database!$B:$B,$A5,Database!$J:$J,"Upcoming")</f>
        <v>0</v>
      </c>
      <c r="G5" s="23" t="n">
        <f aca="false">COUNTIFS(Database!$B:$B,$A5,Database!$J:$J,"Completed/Expired")</f>
        <v>1</v>
      </c>
      <c r="H5" s="23" t="n">
        <f aca="false">COUNTIFS(Database!$B:$B,$A5,Database!$J:$J,"No verified project")</f>
        <v>0</v>
      </c>
      <c r="I5" s="2" t="n">
        <f aca="false">SUM(C5:H5)</f>
        <v>1</v>
      </c>
      <c r="J5" s="24" t="n">
        <f aca="false">SUM(C5:F5)</f>
        <v>0</v>
      </c>
      <c r="K5" s="23" t="str">
        <f aca="false">IF(I5=0,"Not yet researched",IF(H5&gt;0,"Searched — nothing verified (gap)",""))</f>
        <v/>
      </c>
    </row>
    <row r="6" customFormat="false" ht="15" hidden="false" customHeight="false" outlineLevel="0" collapsed="false">
      <c r="A6" s="23" t="s">
        <v>185</v>
      </c>
      <c r="B6" s="23" t="s">
        <v>1590</v>
      </c>
      <c r="C6" s="23" t="n">
        <f aca="false">COUNTIFS(Database!$B:$B,$A6,Database!$J:$J,"Confirmed active paid")</f>
        <v>0</v>
      </c>
      <c r="D6" s="23" t="n">
        <f aca="false">COUNTIFS(Database!$B:$B,$A6,Database!$J:$J,"Strong evidence active paid")</f>
        <v>0</v>
      </c>
      <c r="E6" s="23" t="n">
        <f aca="false">COUNTIFS(Database!$B:$B,$A6,Database!$J:$J,"Active – paid unconfirmed")</f>
        <v>3</v>
      </c>
      <c r="F6" s="23" t="n">
        <f aca="false">COUNTIFS(Database!$B:$B,$A6,Database!$J:$J,"Upcoming")</f>
        <v>0</v>
      </c>
      <c r="G6" s="23" t="n">
        <f aca="false">COUNTIFS(Database!$B:$B,$A6,Database!$J:$J,"Completed/Expired")</f>
        <v>8</v>
      </c>
      <c r="H6" s="23" t="n">
        <f aca="false">COUNTIFS(Database!$B:$B,$A6,Database!$J:$J,"No verified project")</f>
        <v>0</v>
      </c>
      <c r="I6" s="2" t="n">
        <f aca="false">SUM(C6:H6)</f>
        <v>11</v>
      </c>
      <c r="J6" s="24" t="n">
        <f aca="false">SUM(C6:F6)</f>
        <v>3</v>
      </c>
      <c r="K6" s="23" t="str">
        <f aca="false">IF(I6=0,"Not yet researched",IF(H6&gt;0,"Searched — nothing verified (gap)",""))</f>
        <v/>
      </c>
    </row>
    <row r="7" customFormat="false" ht="15" hidden="false" customHeight="false" outlineLevel="0" collapsed="false">
      <c r="A7" s="23" t="s">
        <v>305</v>
      </c>
      <c r="B7" s="23" t="s">
        <v>1591</v>
      </c>
      <c r="C7" s="23" t="n">
        <f aca="false">COUNTIFS(Database!$B:$B,$A7,Database!$J:$J,"Confirmed active paid")</f>
        <v>0</v>
      </c>
      <c r="D7" s="23" t="n">
        <f aca="false">COUNTIFS(Database!$B:$B,$A7,Database!$J:$J,"Strong evidence active paid")</f>
        <v>0</v>
      </c>
      <c r="E7" s="23" t="n">
        <f aca="false">COUNTIFS(Database!$B:$B,$A7,Database!$J:$J,"Active – paid unconfirmed")</f>
        <v>0</v>
      </c>
      <c r="F7" s="23" t="n">
        <f aca="false">COUNTIFS(Database!$B:$B,$A7,Database!$J:$J,"Upcoming")</f>
        <v>1</v>
      </c>
      <c r="G7" s="23" t="n">
        <f aca="false">COUNTIFS(Database!$B:$B,$A7,Database!$J:$J,"Completed/Expired")</f>
        <v>5</v>
      </c>
      <c r="H7" s="23" t="n">
        <f aca="false">COUNTIFS(Database!$B:$B,$A7,Database!$J:$J,"No verified project")</f>
        <v>0</v>
      </c>
      <c r="I7" s="2" t="n">
        <f aca="false">SUM(C7:H7)</f>
        <v>6</v>
      </c>
      <c r="J7" s="24" t="n">
        <f aca="false">SUM(C7:F7)</f>
        <v>1</v>
      </c>
      <c r="K7" s="23" t="str">
        <f aca="false">IF(I7=0,"Not yet researched",IF(H7&gt;0,"Searched — nothing verified (gap)",""))</f>
        <v/>
      </c>
    </row>
    <row r="8" customFormat="false" ht="15" hidden="false" customHeight="false" outlineLevel="0" collapsed="false">
      <c r="A8" s="23" t="s">
        <v>379</v>
      </c>
      <c r="B8" s="23" t="s">
        <v>1592</v>
      </c>
      <c r="C8" s="23" t="n">
        <f aca="false">COUNTIFS(Database!$B:$B,$A8,Database!$J:$J,"Confirmed active paid")</f>
        <v>0</v>
      </c>
      <c r="D8" s="23" t="n">
        <f aca="false">COUNTIFS(Database!$B:$B,$A8,Database!$J:$J,"Strong evidence active paid")</f>
        <v>0</v>
      </c>
      <c r="E8" s="23" t="n">
        <f aca="false">COUNTIFS(Database!$B:$B,$A8,Database!$J:$J,"Active – paid unconfirmed")</f>
        <v>0</v>
      </c>
      <c r="F8" s="23" t="n">
        <f aca="false">COUNTIFS(Database!$B:$B,$A8,Database!$J:$J,"Upcoming")</f>
        <v>0</v>
      </c>
      <c r="G8" s="23" t="n">
        <f aca="false">COUNTIFS(Database!$B:$B,$A8,Database!$J:$J,"Completed/Expired")</f>
        <v>0</v>
      </c>
      <c r="H8" s="23" t="n">
        <f aca="false">COUNTIFS(Database!$B:$B,$A8,Database!$J:$J,"No verified project")</f>
        <v>1</v>
      </c>
      <c r="I8" s="2" t="n">
        <f aca="false">SUM(C8:H8)</f>
        <v>1</v>
      </c>
      <c r="J8" s="24" t="n">
        <f aca="false">SUM(C8:F8)</f>
        <v>0</v>
      </c>
      <c r="K8" s="23" t="str">
        <f aca="false">IF(I8=0,"Not yet researched",IF(H8&gt;0,"Searched — nothing verified (gap)",""))</f>
        <v>Searched — nothing verified (gap)</v>
      </c>
    </row>
    <row r="9" customFormat="false" ht="15" hidden="false" customHeight="false" outlineLevel="0" collapsed="false">
      <c r="A9" s="23" t="s">
        <v>385</v>
      </c>
      <c r="B9" s="23" t="s">
        <v>1593</v>
      </c>
      <c r="C9" s="23" t="n">
        <f aca="false">COUNTIFS(Database!$B:$B,$A9,Database!$J:$J,"Confirmed active paid")</f>
        <v>0</v>
      </c>
      <c r="D9" s="23" t="n">
        <f aca="false">COUNTIFS(Database!$B:$B,$A9,Database!$J:$J,"Strong evidence active paid")</f>
        <v>0</v>
      </c>
      <c r="E9" s="23" t="n">
        <f aca="false">COUNTIFS(Database!$B:$B,$A9,Database!$J:$J,"Active – paid unconfirmed")</f>
        <v>0</v>
      </c>
      <c r="F9" s="23" t="n">
        <f aca="false">COUNTIFS(Database!$B:$B,$A9,Database!$J:$J,"Upcoming")</f>
        <v>0</v>
      </c>
      <c r="G9" s="23" t="n">
        <f aca="false">COUNTIFS(Database!$B:$B,$A9,Database!$J:$J,"Completed/Expired")</f>
        <v>0</v>
      </c>
      <c r="H9" s="23" t="n">
        <f aca="false">COUNTIFS(Database!$B:$B,$A9,Database!$J:$J,"No verified project")</f>
        <v>1</v>
      </c>
      <c r="I9" s="2" t="n">
        <f aca="false">SUM(C9:H9)</f>
        <v>1</v>
      </c>
      <c r="J9" s="24" t="n">
        <f aca="false">SUM(C9:F9)</f>
        <v>0</v>
      </c>
      <c r="K9" s="23" t="str">
        <f aca="false">IF(I9=0,"Not yet researched",IF(H9&gt;0,"Searched — nothing verified (gap)",""))</f>
        <v>Searched — nothing verified (gap)</v>
      </c>
    </row>
    <row r="10" customFormat="false" ht="15" hidden="false" customHeight="false" outlineLevel="0" collapsed="false">
      <c r="A10" s="23" t="s">
        <v>388</v>
      </c>
      <c r="B10" s="23" t="s">
        <v>1594</v>
      </c>
      <c r="C10" s="23" t="n">
        <f aca="false">COUNTIFS(Database!$B:$B,$A10,Database!$J:$J,"Confirmed active paid")</f>
        <v>0</v>
      </c>
      <c r="D10" s="23" t="n">
        <f aca="false">COUNTIFS(Database!$B:$B,$A10,Database!$J:$J,"Strong evidence active paid")</f>
        <v>0</v>
      </c>
      <c r="E10" s="23" t="n">
        <f aca="false">COUNTIFS(Database!$B:$B,$A10,Database!$J:$J,"Active – paid unconfirmed")</f>
        <v>1</v>
      </c>
      <c r="F10" s="23" t="n">
        <f aca="false">COUNTIFS(Database!$B:$B,$A10,Database!$J:$J,"Upcoming")</f>
        <v>2</v>
      </c>
      <c r="G10" s="23" t="n">
        <f aca="false">COUNTIFS(Database!$B:$B,$A10,Database!$J:$J,"Completed/Expired")</f>
        <v>1</v>
      </c>
      <c r="H10" s="23" t="n">
        <f aca="false">COUNTIFS(Database!$B:$B,$A10,Database!$J:$J,"No verified project")</f>
        <v>0</v>
      </c>
      <c r="I10" s="2" t="n">
        <f aca="false">SUM(C10:H10)</f>
        <v>4</v>
      </c>
      <c r="J10" s="24" t="n">
        <f aca="false">SUM(C10:F10)</f>
        <v>3</v>
      </c>
      <c r="K10" s="23" t="str">
        <f aca="false">IF(I10=0,"Not yet researched",IF(H10&gt;0,"Searched — nothing verified (gap)",""))</f>
        <v/>
      </c>
    </row>
    <row r="11" customFormat="false" ht="15" hidden="false" customHeight="false" outlineLevel="0" collapsed="false">
      <c r="A11" s="23" t="s">
        <v>437</v>
      </c>
      <c r="B11" s="23" t="s">
        <v>1595</v>
      </c>
      <c r="C11" s="23" t="n">
        <f aca="false">COUNTIFS(Database!$B:$B,$A11,Database!$J:$J,"Confirmed active paid")</f>
        <v>0</v>
      </c>
      <c r="D11" s="23" t="n">
        <f aca="false">COUNTIFS(Database!$B:$B,$A11,Database!$J:$J,"Strong evidence active paid")</f>
        <v>0</v>
      </c>
      <c r="E11" s="23" t="n">
        <f aca="false">COUNTIFS(Database!$B:$B,$A11,Database!$J:$J,"Active – paid unconfirmed")</f>
        <v>4</v>
      </c>
      <c r="F11" s="23" t="n">
        <f aca="false">COUNTIFS(Database!$B:$B,$A11,Database!$J:$J,"Upcoming")</f>
        <v>2</v>
      </c>
      <c r="G11" s="23" t="n">
        <f aca="false">COUNTIFS(Database!$B:$B,$A11,Database!$J:$J,"Completed/Expired")</f>
        <v>4</v>
      </c>
      <c r="H11" s="23" t="n">
        <f aca="false">COUNTIFS(Database!$B:$B,$A11,Database!$J:$J,"No verified project")</f>
        <v>0</v>
      </c>
      <c r="I11" s="2" t="n">
        <f aca="false">SUM(C11:H11)</f>
        <v>10</v>
      </c>
      <c r="J11" s="24" t="n">
        <f aca="false">SUM(C11:F11)</f>
        <v>6</v>
      </c>
      <c r="K11" s="23" t="str">
        <f aca="false">IF(I11=0,"Not yet researched",IF(H11&gt;0,"Searched — nothing verified (gap)",""))</f>
        <v/>
      </c>
    </row>
    <row r="12" customFormat="false" ht="15" hidden="false" customHeight="false" outlineLevel="0" collapsed="false">
      <c r="A12" s="23" t="s">
        <v>543</v>
      </c>
      <c r="B12" s="23" t="s">
        <v>1596</v>
      </c>
      <c r="C12" s="23" t="n">
        <f aca="false">COUNTIFS(Database!$B:$B,$A12,Database!$J:$J,"Confirmed active paid")</f>
        <v>0</v>
      </c>
      <c r="D12" s="23" t="n">
        <f aca="false">COUNTIFS(Database!$B:$B,$A12,Database!$J:$J,"Strong evidence active paid")</f>
        <v>0</v>
      </c>
      <c r="E12" s="23" t="n">
        <f aca="false">COUNTIFS(Database!$B:$B,$A12,Database!$J:$J,"Active – paid unconfirmed")</f>
        <v>0</v>
      </c>
      <c r="F12" s="23" t="n">
        <f aca="false">COUNTIFS(Database!$B:$B,$A12,Database!$J:$J,"Upcoming")</f>
        <v>0</v>
      </c>
      <c r="G12" s="23" t="n">
        <f aca="false">COUNTIFS(Database!$B:$B,$A12,Database!$J:$J,"Completed/Expired")</f>
        <v>1</v>
      </c>
      <c r="H12" s="23" t="n">
        <f aca="false">COUNTIFS(Database!$B:$B,$A12,Database!$J:$J,"No verified project")</f>
        <v>0</v>
      </c>
      <c r="I12" s="2" t="n">
        <f aca="false">SUM(C12:H12)</f>
        <v>1</v>
      </c>
      <c r="J12" s="24" t="n">
        <f aca="false">SUM(C12:F12)</f>
        <v>0</v>
      </c>
      <c r="K12" s="23" t="str">
        <f aca="false">IF(I12=0,"Not yet researched",IF(H12&gt;0,"Searched — nothing verified (gap)",""))</f>
        <v/>
      </c>
    </row>
    <row r="13" customFormat="false" ht="15" hidden="false" customHeight="false" outlineLevel="0" collapsed="false">
      <c r="A13" s="23" t="s">
        <v>555</v>
      </c>
      <c r="B13" s="23" t="s">
        <v>1597</v>
      </c>
      <c r="C13" s="23" t="n">
        <f aca="false">COUNTIFS(Database!$B:$B,$A13,Database!$J:$J,"Confirmed active paid")</f>
        <v>0</v>
      </c>
      <c r="D13" s="23" t="n">
        <f aca="false">COUNTIFS(Database!$B:$B,$A13,Database!$J:$J,"Strong evidence active paid")</f>
        <v>0</v>
      </c>
      <c r="E13" s="23" t="n">
        <f aca="false">COUNTIFS(Database!$B:$B,$A13,Database!$J:$J,"Active – paid unconfirmed")</f>
        <v>0</v>
      </c>
      <c r="F13" s="23" t="n">
        <f aca="false">COUNTIFS(Database!$B:$B,$A13,Database!$J:$J,"Upcoming")</f>
        <v>0</v>
      </c>
      <c r="G13" s="23" t="n">
        <f aca="false">COUNTIFS(Database!$B:$B,$A13,Database!$J:$J,"Completed/Expired")</f>
        <v>0</v>
      </c>
      <c r="H13" s="23" t="n">
        <f aca="false">COUNTIFS(Database!$B:$B,$A13,Database!$J:$J,"No verified project")</f>
        <v>1</v>
      </c>
      <c r="I13" s="2" t="n">
        <f aca="false">SUM(C13:H13)</f>
        <v>1</v>
      </c>
      <c r="J13" s="24" t="n">
        <f aca="false">SUM(C13:F13)</f>
        <v>0</v>
      </c>
      <c r="K13" s="23" t="str">
        <f aca="false">IF(I13=0,"Not yet researched",IF(H13&gt;0,"Searched — nothing verified (gap)",""))</f>
        <v>Searched — nothing verified (gap)</v>
      </c>
    </row>
    <row r="14" customFormat="false" ht="15" hidden="false" customHeight="false" outlineLevel="0" collapsed="false">
      <c r="A14" s="23" t="s">
        <v>564</v>
      </c>
      <c r="B14" s="23" t="s">
        <v>40</v>
      </c>
      <c r="C14" s="23" t="n">
        <f aca="false">COUNTIFS(Database!$B:$B,$A14,Database!$J:$J,"Confirmed active paid")</f>
        <v>0</v>
      </c>
      <c r="D14" s="23" t="n">
        <f aca="false">COUNTIFS(Database!$B:$B,$A14,Database!$J:$J,"Strong evidence active paid")</f>
        <v>0</v>
      </c>
      <c r="E14" s="23" t="n">
        <f aca="false">COUNTIFS(Database!$B:$B,$A14,Database!$J:$J,"Active – paid unconfirmed")</f>
        <v>0</v>
      </c>
      <c r="F14" s="23" t="n">
        <f aca="false">COUNTIFS(Database!$B:$B,$A14,Database!$J:$J,"Upcoming")</f>
        <v>0</v>
      </c>
      <c r="G14" s="23" t="n">
        <f aca="false">COUNTIFS(Database!$B:$B,$A14,Database!$J:$J,"Completed/Expired")</f>
        <v>2</v>
      </c>
      <c r="H14" s="23" t="n">
        <f aca="false">COUNTIFS(Database!$B:$B,$A14,Database!$J:$J,"No verified project")</f>
        <v>0</v>
      </c>
      <c r="I14" s="2" t="n">
        <f aca="false">SUM(C14:H14)</f>
        <v>2</v>
      </c>
      <c r="J14" s="24" t="n">
        <f aca="false">SUM(C14:F14)</f>
        <v>0</v>
      </c>
      <c r="K14" s="23" t="str">
        <f aca="false">IF(I14=0,"Not yet researched",IF(H14&gt;0,"Searched — nothing verified (gap)",""))</f>
        <v/>
      </c>
    </row>
    <row r="15" customFormat="false" ht="15" hidden="false" customHeight="false" outlineLevel="0" collapsed="false">
      <c r="A15" s="23" t="s">
        <v>588</v>
      </c>
      <c r="B15" s="23" t="s">
        <v>1598</v>
      </c>
      <c r="C15" s="23" t="n">
        <f aca="false">COUNTIFS(Database!$B:$B,$A15,Database!$J:$J,"Confirmed active paid")</f>
        <v>0</v>
      </c>
      <c r="D15" s="23" t="n">
        <f aca="false">COUNTIFS(Database!$B:$B,$A15,Database!$J:$J,"Strong evidence active paid")</f>
        <v>0</v>
      </c>
      <c r="E15" s="23" t="n">
        <f aca="false">COUNTIFS(Database!$B:$B,$A15,Database!$J:$J,"Active – paid unconfirmed")</f>
        <v>2</v>
      </c>
      <c r="F15" s="23" t="n">
        <f aca="false">COUNTIFS(Database!$B:$B,$A15,Database!$J:$J,"Upcoming")</f>
        <v>0</v>
      </c>
      <c r="G15" s="23" t="n">
        <f aca="false">COUNTIFS(Database!$B:$B,$A15,Database!$J:$J,"Completed/Expired")</f>
        <v>1</v>
      </c>
      <c r="H15" s="23" t="n">
        <f aca="false">COUNTIFS(Database!$B:$B,$A15,Database!$J:$J,"No verified project")</f>
        <v>0</v>
      </c>
      <c r="I15" s="2" t="n">
        <f aca="false">SUM(C15:H15)</f>
        <v>3</v>
      </c>
      <c r="J15" s="24" t="n">
        <f aca="false">SUM(C15:F15)</f>
        <v>2</v>
      </c>
      <c r="K15" s="23" t="str">
        <f aca="false">IF(I15=0,"Not yet researched",IF(H15&gt;0,"Searched — nothing verified (gap)",""))</f>
        <v/>
      </c>
    </row>
    <row r="16" customFormat="false" ht="15" hidden="false" customHeight="false" outlineLevel="0" collapsed="false">
      <c r="A16" s="23" t="s">
        <v>630</v>
      </c>
      <c r="B16" s="23" t="s">
        <v>1599</v>
      </c>
      <c r="C16" s="23" t="n">
        <f aca="false">COUNTIFS(Database!$B:$B,$A16,Database!$J:$J,"Confirmed active paid")</f>
        <v>0</v>
      </c>
      <c r="D16" s="23" t="n">
        <f aca="false">COUNTIFS(Database!$B:$B,$A16,Database!$J:$J,"Strong evidence active paid")</f>
        <v>0</v>
      </c>
      <c r="E16" s="23" t="n">
        <f aca="false">COUNTIFS(Database!$B:$B,$A16,Database!$J:$J,"Active – paid unconfirmed")</f>
        <v>0</v>
      </c>
      <c r="F16" s="23" t="n">
        <f aca="false">COUNTIFS(Database!$B:$B,$A16,Database!$J:$J,"Upcoming")</f>
        <v>0</v>
      </c>
      <c r="G16" s="23" t="n">
        <f aca="false">COUNTIFS(Database!$B:$B,$A16,Database!$J:$J,"Completed/Expired")</f>
        <v>1</v>
      </c>
      <c r="H16" s="23" t="n">
        <f aca="false">COUNTIFS(Database!$B:$B,$A16,Database!$J:$J,"No verified project")</f>
        <v>0</v>
      </c>
      <c r="I16" s="2" t="n">
        <f aca="false">SUM(C16:H16)</f>
        <v>1</v>
      </c>
      <c r="J16" s="24" t="n">
        <f aca="false">SUM(C16:F16)</f>
        <v>0</v>
      </c>
      <c r="K16" s="23" t="str">
        <f aca="false">IF(I16=0,"Not yet researched",IF(H16&gt;0,"Searched — nothing verified (gap)",""))</f>
        <v/>
      </c>
    </row>
    <row r="17" customFormat="false" ht="15" hidden="false" customHeight="false" outlineLevel="0" collapsed="false">
      <c r="A17" s="23" t="s">
        <v>643</v>
      </c>
      <c r="B17" s="23" t="s">
        <v>1600</v>
      </c>
      <c r="C17" s="23" t="n">
        <f aca="false">COUNTIFS(Database!$B:$B,$A17,Database!$J:$J,"Confirmed active paid")</f>
        <v>0</v>
      </c>
      <c r="D17" s="23" t="n">
        <f aca="false">COUNTIFS(Database!$B:$B,$A17,Database!$J:$J,"Strong evidence active paid")</f>
        <v>0</v>
      </c>
      <c r="E17" s="23" t="n">
        <f aca="false">COUNTIFS(Database!$B:$B,$A17,Database!$J:$J,"Active – paid unconfirmed")</f>
        <v>0</v>
      </c>
      <c r="F17" s="23" t="n">
        <f aca="false">COUNTIFS(Database!$B:$B,$A17,Database!$J:$J,"Upcoming")</f>
        <v>0</v>
      </c>
      <c r="G17" s="23" t="n">
        <f aca="false">COUNTIFS(Database!$B:$B,$A17,Database!$J:$J,"Completed/Expired")</f>
        <v>0</v>
      </c>
      <c r="H17" s="23" t="n">
        <f aca="false">COUNTIFS(Database!$B:$B,$A17,Database!$J:$J,"No verified project")</f>
        <v>1</v>
      </c>
      <c r="I17" s="2" t="n">
        <f aca="false">SUM(C17:H17)</f>
        <v>1</v>
      </c>
      <c r="J17" s="24" t="n">
        <f aca="false">SUM(C17:F17)</f>
        <v>0</v>
      </c>
      <c r="K17" s="23" t="str">
        <f aca="false">IF(I17=0,"Not yet researched",IF(H17&gt;0,"Searched — nothing verified (gap)",""))</f>
        <v>Searched — nothing verified (gap)</v>
      </c>
    </row>
    <row r="18" customFormat="false" ht="15" hidden="false" customHeight="false" outlineLevel="0" collapsed="false">
      <c r="A18" s="23" t="s">
        <v>650</v>
      </c>
      <c r="B18" s="23" t="s">
        <v>1601</v>
      </c>
      <c r="C18" s="23" t="n">
        <f aca="false">COUNTIFS(Database!$B:$B,$A18,Database!$J:$J,"Confirmed active paid")</f>
        <v>0</v>
      </c>
      <c r="D18" s="23" t="n">
        <f aca="false">COUNTIFS(Database!$B:$B,$A18,Database!$J:$J,"Strong evidence active paid")</f>
        <v>0</v>
      </c>
      <c r="E18" s="23" t="n">
        <f aca="false">COUNTIFS(Database!$B:$B,$A18,Database!$J:$J,"Active – paid unconfirmed")</f>
        <v>0</v>
      </c>
      <c r="F18" s="23" t="n">
        <f aca="false">COUNTIFS(Database!$B:$B,$A18,Database!$J:$J,"Upcoming")</f>
        <v>0</v>
      </c>
      <c r="G18" s="23" t="n">
        <f aca="false">COUNTIFS(Database!$B:$B,$A18,Database!$J:$J,"Completed/Expired")</f>
        <v>1</v>
      </c>
      <c r="H18" s="23" t="n">
        <f aca="false">COUNTIFS(Database!$B:$B,$A18,Database!$J:$J,"No verified project")</f>
        <v>0</v>
      </c>
      <c r="I18" s="2" t="n">
        <f aca="false">SUM(C18:H18)</f>
        <v>1</v>
      </c>
      <c r="J18" s="24" t="n">
        <f aca="false">SUM(C18:F18)</f>
        <v>0</v>
      </c>
      <c r="K18" s="23" t="str">
        <f aca="false">IF(I18=0,"Not yet researched",IF(H18&gt;0,"Searched — nothing verified (gap)",""))</f>
        <v/>
      </c>
    </row>
    <row r="19" customFormat="false" ht="15" hidden="false" customHeight="false" outlineLevel="0" collapsed="false">
      <c r="A19" s="23" t="s">
        <v>665</v>
      </c>
      <c r="B19" s="23" t="s">
        <v>1602</v>
      </c>
      <c r="C19" s="23" t="n">
        <f aca="false">COUNTIFS(Database!$B:$B,$A19,Database!$J:$J,"Confirmed active paid")</f>
        <v>0</v>
      </c>
      <c r="D19" s="23" t="n">
        <f aca="false">COUNTIFS(Database!$B:$B,$A19,Database!$J:$J,"Strong evidence active paid")</f>
        <v>0</v>
      </c>
      <c r="E19" s="23" t="n">
        <f aca="false">COUNTIFS(Database!$B:$B,$A19,Database!$J:$J,"Active – paid unconfirmed")</f>
        <v>0</v>
      </c>
      <c r="F19" s="23" t="n">
        <f aca="false">COUNTIFS(Database!$B:$B,$A19,Database!$J:$J,"Upcoming")</f>
        <v>0</v>
      </c>
      <c r="G19" s="23" t="n">
        <f aca="false">COUNTIFS(Database!$B:$B,$A19,Database!$J:$J,"Completed/Expired")</f>
        <v>0</v>
      </c>
      <c r="H19" s="23" t="n">
        <f aca="false">COUNTIFS(Database!$B:$B,$A19,Database!$J:$J,"No verified project")</f>
        <v>1</v>
      </c>
      <c r="I19" s="2" t="n">
        <f aca="false">SUM(C19:H19)</f>
        <v>1</v>
      </c>
      <c r="J19" s="24" t="n">
        <f aca="false">SUM(C19:F19)</f>
        <v>0</v>
      </c>
      <c r="K19" s="23" t="str">
        <f aca="false">IF(I19=0,"Not yet researched",IF(H19&gt;0,"Searched — nothing verified (gap)",""))</f>
        <v>Searched — nothing verified (gap)</v>
      </c>
    </row>
    <row r="20" customFormat="false" ht="15" hidden="false" customHeight="false" outlineLevel="0" collapsed="false">
      <c r="A20" s="23" t="s">
        <v>671</v>
      </c>
      <c r="B20" s="23" t="s">
        <v>1603</v>
      </c>
      <c r="C20" s="23" t="n">
        <f aca="false">COUNTIFS(Database!$B:$B,$A20,Database!$J:$J,"Confirmed active paid")</f>
        <v>0</v>
      </c>
      <c r="D20" s="23" t="n">
        <f aca="false">COUNTIFS(Database!$B:$B,$A20,Database!$J:$J,"Strong evidence active paid")</f>
        <v>0</v>
      </c>
      <c r="E20" s="23" t="n">
        <f aca="false">COUNTIFS(Database!$B:$B,$A20,Database!$J:$J,"Active – paid unconfirmed")</f>
        <v>1</v>
      </c>
      <c r="F20" s="23" t="n">
        <f aca="false">COUNTIFS(Database!$B:$B,$A20,Database!$J:$J,"Upcoming")</f>
        <v>0</v>
      </c>
      <c r="G20" s="23" t="n">
        <f aca="false">COUNTIFS(Database!$B:$B,$A20,Database!$J:$J,"Completed/Expired")</f>
        <v>0</v>
      </c>
      <c r="H20" s="23" t="n">
        <f aca="false">COUNTIFS(Database!$B:$B,$A20,Database!$J:$J,"No verified project")</f>
        <v>0</v>
      </c>
      <c r="I20" s="2" t="n">
        <f aca="false">SUM(C20:H20)</f>
        <v>1</v>
      </c>
      <c r="J20" s="24" t="n">
        <f aca="false">SUM(C20:F20)</f>
        <v>1</v>
      </c>
      <c r="K20" s="23" t="str">
        <f aca="false">IF(I20=0,"Not yet researched",IF(H20&gt;0,"Searched — nothing verified (gap)",""))</f>
        <v/>
      </c>
    </row>
    <row r="21" customFormat="false" ht="15" hidden="false" customHeight="false" outlineLevel="0" collapsed="false">
      <c r="A21" s="23" t="s">
        <v>683</v>
      </c>
      <c r="B21" s="23" t="s">
        <v>1604</v>
      </c>
      <c r="C21" s="23" t="n">
        <f aca="false">COUNTIFS(Database!$B:$B,$A21,Database!$J:$J,"Confirmed active paid")</f>
        <v>0</v>
      </c>
      <c r="D21" s="23" t="n">
        <f aca="false">COUNTIFS(Database!$B:$B,$A21,Database!$J:$J,"Strong evidence active paid")</f>
        <v>1</v>
      </c>
      <c r="E21" s="23" t="n">
        <f aca="false">COUNTIFS(Database!$B:$B,$A21,Database!$J:$J,"Active – paid unconfirmed")</f>
        <v>1</v>
      </c>
      <c r="F21" s="23" t="n">
        <f aca="false">COUNTIFS(Database!$B:$B,$A21,Database!$J:$J,"Upcoming")</f>
        <v>0</v>
      </c>
      <c r="G21" s="23" t="n">
        <f aca="false">COUNTIFS(Database!$B:$B,$A21,Database!$J:$J,"Completed/Expired")</f>
        <v>1</v>
      </c>
      <c r="H21" s="23" t="n">
        <f aca="false">COUNTIFS(Database!$B:$B,$A21,Database!$J:$J,"No verified project")</f>
        <v>0</v>
      </c>
      <c r="I21" s="2" t="n">
        <f aca="false">SUM(C21:H21)</f>
        <v>3</v>
      </c>
      <c r="J21" s="24" t="n">
        <f aca="false">SUM(C21:F21)</f>
        <v>2</v>
      </c>
      <c r="K21" s="23" t="str">
        <f aca="false">IF(I21=0,"Not yet researched",IF(H21&gt;0,"Searched — nothing verified (gap)",""))</f>
        <v/>
      </c>
    </row>
    <row r="22" customFormat="false" ht="15" hidden="false" customHeight="false" outlineLevel="0" collapsed="false">
      <c r="A22" s="23" t="s">
        <v>718</v>
      </c>
      <c r="B22" s="23" t="s">
        <v>1605</v>
      </c>
      <c r="C22" s="23" t="n">
        <f aca="false">COUNTIFS(Database!$B:$B,$A22,Database!$J:$J,"Confirmed active paid")</f>
        <v>0</v>
      </c>
      <c r="D22" s="23" t="n">
        <f aca="false">COUNTIFS(Database!$B:$B,$A22,Database!$J:$J,"Strong evidence active paid")</f>
        <v>0</v>
      </c>
      <c r="E22" s="23" t="n">
        <f aca="false">COUNTIFS(Database!$B:$B,$A22,Database!$J:$J,"Active – paid unconfirmed")</f>
        <v>0</v>
      </c>
      <c r="F22" s="23" t="n">
        <f aca="false">COUNTIFS(Database!$B:$B,$A22,Database!$J:$J,"Upcoming")</f>
        <v>1</v>
      </c>
      <c r="G22" s="23" t="n">
        <f aca="false">COUNTIFS(Database!$B:$B,$A22,Database!$J:$J,"Completed/Expired")</f>
        <v>2</v>
      </c>
      <c r="H22" s="23" t="n">
        <f aca="false">COUNTIFS(Database!$B:$B,$A22,Database!$J:$J,"No verified project")</f>
        <v>0</v>
      </c>
      <c r="I22" s="2" t="n">
        <f aca="false">SUM(C22:H22)</f>
        <v>3</v>
      </c>
      <c r="J22" s="24" t="n">
        <f aca="false">SUM(C22:F22)</f>
        <v>1</v>
      </c>
      <c r="K22" s="23" t="str">
        <f aca="false">IF(I22=0,"Not yet researched",IF(H22&gt;0,"Searched — nothing verified (gap)",""))</f>
        <v/>
      </c>
    </row>
    <row r="23" customFormat="false" ht="15" hidden="false" customHeight="false" outlineLevel="0" collapsed="false">
      <c r="A23" s="23" t="s">
        <v>764</v>
      </c>
      <c r="B23" s="23" t="s">
        <v>1606</v>
      </c>
      <c r="C23" s="23" t="n">
        <f aca="false">COUNTIFS(Database!$B:$B,$A23,Database!$J:$J,"Confirmed active paid")</f>
        <v>0</v>
      </c>
      <c r="D23" s="23" t="n">
        <f aca="false">COUNTIFS(Database!$B:$B,$A23,Database!$J:$J,"Strong evidence active paid")</f>
        <v>0</v>
      </c>
      <c r="E23" s="23" t="n">
        <f aca="false">COUNTIFS(Database!$B:$B,$A23,Database!$J:$J,"Active – paid unconfirmed")</f>
        <v>5</v>
      </c>
      <c r="F23" s="23" t="n">
        <f aca="false">COUNTIFS(Database!$B:$B,$A23,Database!$J:$J,"Upcoming")</f>
        <v>0</v>
      </c>
      <c r="G23" s="23" t="n">
        <f aca="false">COUNTIFS(Database!$B:$B,$A23,Database!$J:$J,"Completed/Expired")</f>
        <v>5</v>
      </c>
      <c r="H23" s="23" t="n">
        <f aca="false">COUNTIFS(Database!$B:$B,$A23,Database!$J:$J,"No verified project")</f>
        <v>0</v>
      </c>
      <c r="I23" s="2" t="n">
        <f aca="false">SUM(C23:H23)</f>
        <v>10</v>
      </c>
      <c r="J23" s="24" t="n">
        <f aca="false">SUM(C23:F23)</f>
        <v>5</v>
      </c>
      <c r="K23" s="23" t="str">
        <f aca="false">IF(I23=0,"Not yet researched",IF(H23&gt;0,"Searched — nothing verified (gap)",""))</f>
        <v/>
      </c>
    </row>
    <row r="24" customFormat="false" ht="15" hidden="false" customHeight="false" outlineLevel="0" collapsed="false">
      <c r="A24" s="23" t="s">
        <v>875</v>
      </c>
      <c r="B24" s="23" t="s">
        <v>1607</v>
      </c>
      <c r="C24" s="23" t="n">
        <f aca="false">COUNTIFS(Database!$B:$B,$A24,Database!$J:$J,"Confirmed active paid")</f>
        <v>0</v>
      </c>
      <c r="D24" s="23" t="n">
        <f aca="false">COUNTIFS(Database!$B:$B,$A24,Database!$J:$J,"Strong evidence active paid")</f>
        <v>0</v>
      </c>
      <c r="E24" s="23" t="n">
        <f aca="false">COUNTIFS(Database!$B:$B,$A24,Database!$J:$J,"Active – paid unconfirmed")</f>
        <v>0</v>
      </c>
      <c r="F24" s="23" t="n">
        <f aca="false">COUNTIFS(Database!$B:$B,$A24,Database!$J:$J,"Upcoming")</f>
        <v>3</v>
      </c>
      <c r="G24" s="23" t="n">
        <f aca="false">COUNTIFS(Database!$B:$B,$A24,Database!$J:$J,"Completed/Expired")</f>
        <v>2</v>
      </c>
      <c r="H24" s="23" t="n">
        <f aca="false">COUNTIFS(Database!$B:$B,$A24,Database!$J:$J,"No verified project")</f>
        <v>0</v>
      </c>
      <c r="I24" s="2" t="n">
        <f aca="false">SUM(C24:H24)</f>
        <v>5</v>
      </c>
      <c r="J24" s="24" t="n">
        <f aca="false">SUM(C24:F24)</f>
        <v>3</v>
      </c>
      <c r="K24" s="23" t="str">
        <f aca="false">IF(I24=0,"Not yet researched",IF(H24&gt;0,"Searched — nothing verified (gap)",""))</f>
        <v/>
      </c>
    </row>
    <row r="25" customFormat="false" ht="15" hidden="false" customHeight="false" outlineLevel="0" collapsed="false">
      <c r="A25" s="23" t="s">
        <v>944</v>
      </c>
      <c r="B25" s="23" t="s">
        <v>1608</v>
      </c>
      <c r="C25" s="23" t="n">
        <f aca="false">COUNTIFS(Database!$B:$B,$A25,Database!$J:$J,"Confirmed active paid")</f>
        <v>0</v>
      </c>
      <c r="D25" s="23" t="n">
        <f aca="false">COUNTIFS(Database!$B:$B,$A25,Database!$J:$J,"Strong evidence active paid")</f>
        <v>0</v>
      </c>
      <c r="E25" s="23" t="n">
        <f aca="false">COUNTIFS(Database!$B:$B,$A25,Database!$J:$J,"Active – paid unconfirmed")</f>
        <v>0</v>
      </c>
      <c r="F25" s="23" t="n">
        <f aca="false">COUNTIFS(Database!$B:$B,$A25,Database!$J:$J,"Upcoming")</f>
        <v>0</v>
      </c>
      <c r="G25" s="23" t="n">
        <f aca="false">COUNTIFS(Database!$B:$B,$A25,Database!$J:$J,"Completed/Expired")</f>
        <v>0</v>
      </c>
      <c r="H25" s="23" t="n">
        <f aca="false">COUNTIFS(Database!$B:$B,$A25,Database!$J:$J,"No verified project")</f>
        <v>1</v>
      </c>
      <c r="I25" s="2" t="n">
        <f aca="false">SUM(C25:H25)</f>
        <v>1</v>
      </c>
      <c r="J25" s="24" t="n">
        <f aca="false">SUM(C25:F25)</f>
        <v>0</v>
      </c>
      <c r="K25" s="23" t="str">
        <f aca="false">IF(I25=0,"Not yet researched",IF(H25&gt;0,"Searched — nothing verified (gap)",""))</f>
        <v>Searched — nothing verified (gap)</v>
      </c>
    </row>
    <row r="26" customFormat="false" ht="15" hidden="false" customHeight="false" outlineLevel="0" collapsed="false">
      <c r="A26" s="23" t="s">
        <v>947</v>
      </c>
      <c r="B26" s="23" t="s">
        <v>1609</v>
      </c>
      <c r="C26" s="23" t="n">
        <f aca="false">COUNTIFS(Database!$B:$B,$A26,Database!$J:$J,"Confirmed active paid")</f>
        <v>0</v>
      </c>
      <c r="D26" s="23" t="n">
        <f aca="false">COUNTIFS(Database!$B:$B,$A26,Database!$J:$J,"Strong evidence active paid")</f>
        <v>0</v>
      </c>
      <c r="E26" s="23" t="n">
        <f aca="false">COUNTIFS(Database!$B:$B,$A26,Database!$J:$J,"Active – paid unconfirmed")</f>
        <v>0</v>
      </c>
      <c r="F26" s="23" t="n">
        <f aca="false">COUNTIFS(Database!$B:$B,$A26,Database!$J:$J,"Upcoming")</f>
        <v>0</v>
      </c>
      <c r="G26" s="23" t="n">
        <f aca="false">COUNTIFS(Database!$B:$B,$A26,Database!$J:$J,"Completed/Expired")</f>
        <v>0</v>
      </c>
      <c r="H26" s="23" t="n">
        <f aca="false">COUNTIFS(Database!$B:$B,$A26,Database!$J:$J,"No verified project")</f>
        <v>1</v>
      </c>
      <c r="I26" s="2" t="n">
        <f aca="false">SUM(C26:H26)</f>
        <v>1</v>
      </c>
      <c r="J26" s="24" t="n">
        <f aca="false">SUM(C26:F26)</f>
        <v>0</v>
      </c>
      <c r="K26" s="23" t="str">
        <f aca="false">IF(I26=0,"Not yet researched",IF(H26&gt;0,"Searched — nothing verified (gap)",""))</f>
        <v>Searched — nothing verified (gap)</v>
      </c>
    </row>
    <row r="27" customFormat="false" ht="15" hidden="false" customHeight="false" outlineLevel="0" collapsed="false">
      <c r="A27" s="23" t="s">
        <v>955</v>
      </c>
      <c r="B27" s="23" t="s">
        <v>1610</v>
      </c>
      <c r="C27" s="23" t="n">
        <f aca="false">COUNTIFS(Database!$B:$B,$A27,Database!$J:$J,"Confirmed active paid")</f>
        <v>0</v>
      </c>
      <c r="D27" s="23" t="n">
        <f aca="false">COUNTIFS(Database!$B:$B,$A27,Database!$J:$J,"Strong evidence active paid")</f>
        <v>0</v>
      </c>
      <c r="E27" s="23" t="n">
        <f aca="false">COUNTIFS(Database!$B:$B,$A27,Database!$J:$J,"Active – paid unconfirmed")</f>
        <v>0</v>
      </c>
      <c r="F27" s="23" t="n">
        <f aca="false">COUNTIFS(Database!$B:$B,$A27,Database!$J:$J,"Upcoming")</f>
        <v>1</v>
      </c>
      <c r="G27" s="23" t="n">
        <f aca="false">COUNTIFS(Database!$B:$B,$A27,Database!$J:$J,"Completed/Expired")</f>
        <v>4</v>
      </c>
      <c r="H27" s="23" t="n">
        <f aca="false">COUNTIFS(Database!$B:$B,$A27,Database!$J:$J,"No verified project")</f>
        <v>0</v>
      </c>
      <c r="I27" s="2" t="n">
        <f aca="false">SUM(C27:H27)</f>
        <v>5</v>
      </c>
      <c r="J27" s="24" t="n">
        <f aca="false">SUM(C27:F27)</f>
        <v>1</v>
      </c>
      <c r="K27" s="23" t="str">
        <f aca="false">IF(I27=0,"Not yet researched",IF(H27&gt;0,"Searched — nothing verified (gap)",""))</f>
        <v/>
      </c>
    </row>
    <row r="28" customFormat="false" ht="15" hidden="false" customHeight="false" outlineLevel="0" collapsed="false">
      <c r="A28" s="23" t="s">
        <v>1016</v>
      </c>
      <c r="B28" s="23" t="s">
        <v>1611</v>
      </c>
      <c r="C28" s="23" t="n">
        <f aca="false">COUNTIFS(Database!$B:$B,$A28,Database!$J:$J,"Confirmed active paid")</f>
        <v>0</v>
      </c>
      <c r="D28" s="23" t="n">
        <f aca="false">COUNTIFS(Database!$B:$B,$A28,Database!$J:$J,"Strong evidence active paid")</f>
        <v>0</v>
      </c>
      <c r="E28" s="23" t="n">
        <f aca="false">COUNTIFS(Database!$B:$B,$A28,Database!$J:$J,"Active – paid unconfirmed")</f>
        <v>0</v>
      </c>
      <c r="F28" s="23" t="n">
        <f aca="false">COUNTIFS(Database!$B:$B,$A28,Database!$J:$J,"Upcoming")</f>
        <v>0</v>
      </c>
      <c r="G28" s="23" t="n">
        <f aca="false">COUNTIFS(Database!$B:$B,$A28,Database!$J:$J,"Completed/Expired")</f>
        <v>2</v>
      </c>
      <c r="H28" s="23" t="n">
        <f aca="false">COUNTIFS(Database!$B:$B,$A28,Database!$J:$J,"No verified project")</f>
        <v>0</v>
      </c>
      <c r="I28" s="2" t="n">
        <f aca="false">SUM(C28:H28)</f>
        <v>2</v>
      </c>
      <c r="J28" s="24" t="n">
        <f aca="false">SUM(C28:F28)</f>
        <v>0</v>
      </c>
      <c r="K28" s="23" t="str">
        <f aca="false">IF(I28=0,"Not yet researched",IF(H28&gt;0,"Searched — nothing verified (gap)",""))</f>
        <v/>
      </c>
    </row>
    <row r="29" customFormat="false" ht="15" hidden="false" customHeight="false" outlineLevel="0" collapsed="false">
      <c r="A29" s="23" t="s">
        <v>1037</v>
      </c>
      <c r="B29" s="23" t="s">
        <v>1612</v>
      </c>
      <c r="C29" s="23" t="n">
        <f aca="false">COUNTIFS(Database!$B:$B,$A29,Database!$J:$J,"Confirmed active paid")</f>
        <v>0</v>
      </c>
      <c r="D29" s="23" t="n">
        <f aca="false">COUNTIFS(Database!$B:$B,$A29,Database!$J:$J,"Strong evidence active paid")</f>
        <v>0</v>
      </c>
      <c r="E29" s="23" t="n">
        <f aca="false">COUNTIFS(Database!$B:$B,$A29,Database!$J:$J,"Active – paid unconfirmed")</f>
        <v>0</v>
      </c>
      <c r="F29" s="23" t="n">
        <f aca="false">COUNTIFS(Database!$B:$B,$A29,Database!$J:$J,"Upcoming")</f>
        <v>1</v>
      </c>
      <c r="G29" s="23" t="n">
        <f aca="false">COUNTIFS(Database!$B:$B,$A29,Database!$J:$J,"Completed/Expired")</f>
        <v>2</v>
      </c>
      <c r="H29" s="23" t="n">
        <f aca="false">COUNTIFS(Database!$B:$B,$A29,Database!$J:$J,"No verified project")</f>
        <v>0</v>
      </c>
      <c r="I29" s="2" t="n">
        <f aca="false">SUM(C29:H29)</f>
        <v>3</v>
      </c>
      <c r="J29" s="24" t="n">
        <f aca="false">SUM(C29:F29)</f>
        <v>1</v>
      </c>
      <c r="K29" s="23" t="str">
        <f aca="false">IF(I29=0,"Not yet researched",IF(H29&gt;0,"Searched — nothing verified (gap)",""))</f>
        <v/>
      </c>
    </row>
    <row r="30" customFormat="false" ht="15" hidden="false" customHeight="false" outlineLevel="0" collapsed="false">
      <c r="A30" s="23" t="s">
        <v>1077</v>
      </c>
      <c r="B30" s="23" t="s">
        <v>1613</v>
      </c>
      <c r="C30" s="23" t="n">
        <f aca="false">COUNTIFS(Database!$B:$B,$A30,Database!$J:$J,"Confirmed active paid")</f>
        <v>0</v>
      </c>
      <c r="D30" s="23" t="n">
        <f aca="false">COUNTIFS(Database!$B:$B,$A30,Database!$J:$J,"Strong evidence active paid")</f>
        <v>0</v>
      </c>
      <c r="E30" s="23" t="n">
        <f aca="false">COUNTIFS(Database!$B:$B,$A30,Database!$J:$J,"Active – paid unconfirmed")</f>
        <v>0</v>
      </c>
      <c r="F30" s="23" t="n">
        <f aca="false">COUNTIFS(Database!$B:$B,$A30,Database!$J:$J,"Upcoming")</f>
        <v>1</v>
      </c>
      <c r="G30" s="23" t="n">
        <f aca="false">COUNTIFS(Database!$B:$B,$A30,Database!$J:$J,"Completed/Expired")</f>
        <v>1</v>
      </c>
      <c r="H30" s="23" t="n">
        <f aca="false">COUNTIFS(Database!$B:$B,$A30,Database!$J:$J,"No verified project")</f>
        <v>0</v>
      </c>
      <c r="I30" s="2" t="n">
        <f aca="false">SUM(C30:H30)</f>
        <v>2</v>
      </c>
      <c r="J30" s="24" t="n">
        <f aca="false">SUM(C30:F30)</f>
        <v>1</v>
      </c>
      <c r="K30" s="23" t="str">
        <f aca="false">IF(I30=0,"Not yet researched",IF(H30&gt;0,"Searched — nothing verified (gap)",""))</f>
        <v/>
      </c>
    </row>
    <row r="31" customFormat="false" ht="15" hidden="false" customHeight="false" outlineLevel="0" collapsed="false">
      <c r="A31" s="23" t="s">
        <v>1101</v>
      </c>
      <c r="B31" s="23" t="s">
        <v>1614</v>
      </c>
      <c r="C31" s="23" t="n">
        <f aca="false">COUNTIFS(Database!$B:$B,$A31,Database!$J:$J,"Confirmed active paid")</f>
        <v>0</v>
      </c>
      <c r="D31" s="23" t="n">
        <f aca="false">COUNTIFS(Database!$B:$B,$A31,Database!$J:$J,"Strong evidence active paid")</f>
        <v>0</v>
      </c>
      <c r="E31" s="23" t="n">
        <f aca="false">COUNTIFS(Database!$B:$B,$A31,Database!$J:$J,"Active – paid unconfirmed")</f>
        <v>0</v>
      </c>
      <c r="F31" s="23" t="n">
        <f aca="false">COUNTIFS(Database!$B:$B,$A31,Database!$J:$J,"Upcoming")</f>
        <v>0</v>
      </c>
      <c r="G31" s="23" t="n">
        <f aca="false">COUNTIFS(Database!$B:$B,$A31,Database!$J:$J,"Completed/Expired")</f>
        <v>0</v>
      </c>
      <c r="H31" s="23" t="n">
        <f aca="false">COUNTIFS(Database!$B:$B,$A31,Database!$J:$J,"No verified project")</f>
        <v>1</v>
      </c>
      <c r="I31" s="2" t="n">
        <f aca="false">SUM(C31:H31)</f>
        <v>1</v>
      </c>
      <c r="J31" s="24" t="n">
        <f aca="false">SUM(C31:F31)</f>
        <v>0</v>
      </c>
      <c r="K31" s="23" t="str">
        <f aca="false">IF(I31=0,"Not yet researched",IF(H31&gt;0,"Searched — nothing verified (gap)",""))</f>
        <v>Searched — nothing verified (gap)</v>
      </c>
    </row>
    <row r="32" customFormat="false" ht="15" hidden="false" customHeight="false" outlineLevel="0" collapsed="false">
      <c r="A32" s="23" t="s">
        <v>1105</v>
      </c>
      <c r="B32" s="23" t="s">
        <v>1615</v>
      </c>
      <c r="C32" s="23" t="n">
        <f aca="false">COUNTIFS(Database!$B:$B,$A32,Database!$J:$J,"Confirmed active paid")</f>
        <v>0</v>
      </c>
      <c r="D32" s="23" t="n">
        <f aca="false">COUNTIFS(Database!$B:$B,$A32,Database!$J:$J,"Strong evidence active paid")</f>
        <v>0</v>
      </c>
      <c r="E32" s="23" t="n">
        <f aca="false">COUNTIFS(Database!$B:$B,$A32,Database!$J:$J,"Active – paid unconfirmed")</f>
        <v>0</v>
      </c>
      <c r="F32" s="23" t="n">
        <f aca="false">COUNTIFS(Database!$B:$B,$A32,Database!$J:$J,"Upcoming")</f>
        <v>0</v>
      </c>
      <c r="G32" s="23" t="n">
        <f aca="false">COUNTIFS(Database!$B:$B,$A32,Database!$J:$J,"Completed/Expired")</f>
        <v>0</v>
      </c>
      <c r="H32" s="23" t="n">
        <f aca="false">COUNTIFS(Database!$B:$B,$A32,Database!$J:$J,"No verified project")</f>
        <v>1</v>
      </c>
      <c r="I32" s="2" t="n">
        <f aca="false">SUM(C32:H32)</f>
        <v>1</v>
      </c>
      <c r="J32" s="24" t="n">
        <f aca="false">SUM(C32:F32)</f>
        <v>0</v>
      </c>
      <c r="K32" s="23" t="str">
        <f aca="false">IF(I32=0,"Not yet researched",IF(H32&gt;0,"Searched — nothing verified (gap)",""))</f>
        <v>Searched — nothing verified (gap)</v>
      </c>
    </row>
    <row r="33" customFormat="false" ht="15" hidden="false" customHeight="false" outlineLevel="0" collapsed="false">
      <c r="A33" s="23" t="s">
        <v>1109</v>
      </c>
      <c r="B33" s="23" t="s">
        <v>1616</v>
      </c>
      <c r="C33" s="23" t="n">
        <f aca="false">COUNTIFS(Database!$B:$B,$A33,Database!$J:$J,"Confirmed active paid")</f>
        <v>0</v>
      </c>
      <c r="D33" s="23" t="n">
        <f aca="false">COUNTIFS(Database!$B:$B,$A33,Database!$J:$J,"Strong evidence active paid")</f>
        <v>0</v>
      </c>
      <c r="E33" s="23" t="n">
        <f aca="false">COUNTIFS(Database!$B:$B,$A33,Database!$J:$J,"Active – paid unconfirmed")</f>
        <v>0</v>
      </c>
      <c r="F33" s="23" t="n">
        <f aca="false">COUNTIFS(Database!$B:$B,$A33,Database!$J:$J,"Upcoming")</f>
        <v>0</v>
      </c>
      <c r="G33" s="23" t="n">
        <f aca="false">COUNTIFS(Database!$B:$B,$A33,Database!$J:$J,"Completed/Expired")</f>
        <v>1</v>
      </c>
      <c r="H33" s="23" t="n">
        <f aca="false">COUNTIFS(Database!$B:$B,$A33,Database!$J:$J,"No verified project")</f>
        <v>0</v>
      </c>
      <c r="I33" s="2" t="n">
        <f aca="false">SUM(C33:H33)</f>
        <v>1</v>
      </c>
      <c r="J33" s="24" t="n">
        <f aca="false">SUM(C33:F33)</f>
        <v>0</v>
      </c>
      <c r="K33" s="23" t="str">
        <f aca="false">IF(I33=0,"Not yet researched",IF(H33&gt;0,"Searched — nothing verified (gap)",""))</f>
        <v/>
      </c>
    </row>
    <row r="34" customFormat="false" ht="15" hidden="false" customHeight="false" outlineLevel="0" collapsed="false">
      <c r="A34" s="23" t="s">
        <v>1121</v>
      </c>
      <c r="B34" s="23" t="s">
        <v>1617</v>
      </c>
      <c r="C34" s="23" t="n">
        <f aca="false">COUNTIFS(Database!$B:$B,$A34,Database!$J:$J,"Confirmed active paid")</f>
        <v>0</v>
      </c>
      <c r="D34" s="23" t="n">
        <f aca="false">COUNTIFS(Database!$B:$B,$A34,Database!$J:$J,"Strong evidence active paid")</f>
        <v>0</v>
      </c>
      <c r="E34" s="23" t="n">
        <f aca="false">COUNTIFS(Database!$B:$B,$A34,Database!$J:$J,"Active – paid unconfirmed")</f>
        <v>0</v>
      </c>
      <c r="F34" s="23" t="n">
        <f aca="false">COUNTIFS(Database!$B:$B,$A34,Database!$J:$J,"Upcoming")</f>
        <v>1</v>
      </c>
      <c r="G34" s="23" t="n">
        <f aca="false">COUNTIFS(Database!$B:$B,$A34,Database!$J:$J,"Completed/Expired")</f>
        <v>0</v>
      </c>
      <c r="H34" s="23" t="n">
        <f aca="false">COUNTIFS(Database!$B:$B,$A34,Database!$J:$J,"No verified project")</f>
        <v>0</v>
      </c>
      <c r="I34" s="2" t="n">
        <f aca="false">SUM(C34:H34)</f>
        <v>1</v>
      </c>
      <c r="J34" s="24" t="n">
        <f aca="false">SUM(C34:F34)</f>
        <v>1</v>
      </c>
      <c r="K34" s="23" t="str">
        <f aca="false">IF(I34=0,"Not yet researched",IF(H34&gt;0,"Searched — nothing verified (gap)",""))</f>
        <v/>
      </c>
    </row>
    <row r="35" customFormat="false" ht="15" hidden="false" customHeight="false" outlineLevel="0" collapsed="false">
      <c r="A35" s="23" t="s">
        <v>1137</v>
      </c>
      <c r="B35" s="23" t="s">
        <v>1618</v>
      </c>
      <c r="C35" s="23" t="n">
        <f aca="false">COUNTIFS(Database!$B:$B,$A35,Database!$J:$J,"Confirmed active paid")</f>
        <v>0</v>
      </c>
      <c r="D35" s="23" t="n">
        <f aca="false">COUNTIFS(Database!$B:$B,$A35,Database!$J:$J,"Strong evidence active paid")</f>
        <v>0</v>
      </c>
      <c r="E35" s="23" t="n">
        <f aca="false">COUNTIFS(Database!$B:$B,$A35,Database!$J:$J,"Active – paid unconfirmed")</f>
        <v>1</v>
      </c>
      <c r="F35" s="23" t="n">
        <f aca="false">COUNTIFS(Database!$B:$B,$A35,Database!$J:$J,"Upcoming")</f>
        <v>0</v>
      </c>
      <c r="G35" s="23" t="n">
        <f aca="false">COUNTIFS(Database!$B:$B,$A35,Database!$J:$J,"Completed/Expired")</f>
        <v>0</v>
      </c>
      <c r="H35" s="23" t="n">
        <f aca="false">COUNTIFS(Database!$B:$B,$A35,Database!$J:$J,"No verified project")</f>
        <v>0</v>
      </c>
      <c r="I35" s="2" t="n">
        <f aca="false">SUM(C35:H35)</f>
        <v>1</v>
      </c>
      <c r="J35" s="24" t="n">
        <f aca="false">SUM(C35:F35)</f>
        <v>1</v>
      </c>
      <c r="K35" s="23" t="str">
        <f aca="false">IF(I35=0,"Not yet researched",IF(H35&gt;0,"Searched — nothing verified (gap)",""))</f>
        <v/>
      </c>
    </row>
    <row r="36" customFormat="false" ht="15" hidden="false" customHeight="false" outlineLevel="0" collapsed="false">
      <c r="A36" s="23" t="s">
        <v>1151</v>
      </c>
      <c r="B36" s="23" t="s">
        <v>1619</v>
      </c>
      <c r="C36" s="23" t="n">
        <f aca="false">COUNTIFS(Database!$B:$B,$A36,Database!$J:$J,"Confirmed active paid")</f>
        <v>0</v>
      </c>
      <c r="D36" s="23" t="n">
        <f aca="false">COUNTIFS(Database!$B:$B,$A36,Database!$J:$J,"Strong evidence active paid")</f>
        <v>0</v>
      </c>
      <c r="E36" s="23" t="n">
        <f aca="false">COUNTIFS(Database!$B:$B,$A36,Database!$J:$J,"Active – paid unconfirmed")</f>
        <v>0</v>
      </c>
      <c r="F36" s="23" t="n">
        <f aca="false">COUNTIFS(Database!$B:$B,$A36,Database!$J:$J,"Upcoming")</f>
        <v>0</v>
      </c>
      <c r="G36" s="23" t="n">
        <f aca="false">COUNTIFS(Database!$B:$B,$A36,Database!$J:$J,"Completed/Expired")</f>
        <v>0</v>
      </c>
      <c r="H36" s="23" t="n">
        <f aca="false">COUNTIFS(Database!$B:$B,$A36,Database!$J:$J,"No verified project")</f>
        <v>1</v>
      </c>
      <c r="I36" s="2" t="n">
        <f aca="false">SUM(C36:H36)</f>
        <v>1</v>
      </c>
      <c r="J36" s="24" t="n">
        <f aca="false">SUM(C36:F36)</f>
        <v>0</v>
      </c>
      <c r="K36" s="23" t="str">
        <f aca="false">IF(I36=0,"Not yet researched",IF(H36&gt;0,"Searched — nothing verified (gap)",""))</f>
        <v>Searched — nothing verified (gap)</v>
      </c>
    </row>
    <row r="37" customFormat="false" ht="15" hidden="false" customHeight="false" outlineLevel="0" collapsed="false">
      <c r="A37" s="23" t="s">
        <v>1157</v>
      </c>
      <c r="B37" s="23" t="s">
        <v>1620</v>
      </c>
      <c r="C37" s="23" t="n">
        <f aca="false">COUNTIFS(Database!$B:$B,$A37,Database!$J:$J,"Confirmed active paid")</f>
        <v>0</v>
      </c>
      <c r="D37" s="23" t="n">
        <f aca="false">COUNTIFS(Database!$B:$B,$A37,Database!$J:$J,"Strong evidence active paid")</f>
        <v>0</v>
      </c>
      <c r="E37" s="23" t="n">
        <f aca="false">COUNTIFS(Database!$B:$B,$A37,Database!$J:$J,"Active – paid unconfirmed")</f>
        <v>2</v>
      </c>
      <c r="F37" s="23" t="n">
        <f aca="false">COUNTIFS(Database!$B:$B,$A37,Database!$J:$J,"Upcoming")</f>
        <v>0</v>
      </c>
      <c r="G37" s="23" t="n">
        <f aca="false">COUNTIFS(Database!$B:$B,$A37,Database!$J:$J,"Completed/Expired")</f>
        <v>1</v>
      </c>
      <c r="H37" s="23" t="n">
        <f aca="false">COUNTIFS(Database!$B:$B,$A37,Database!$J:$J,"No verified project")</f>
        <v>0</v>
      </c>
      <c r="I37" s="2" t="n">
        <f aca="false">SUM(C37:H37)</f>
        <v>3</v>
      </c>
      <c r="J37" s="24" t="n">
        <f aca="false">SUM(C37:F37)</f>
        <v>2</v>
      </c>
      <c r="K37" s="23" t="str">
        <f aca="false">IF(I37=0,"Not yet researched",IF(H37&gt;0,"Searched — nothing verified (gap)",""))</f>
        <v/>
      </c>
    </row>
    <row r="38" customFormat="false" ht="15" hidden="false" customHeight="false" outlineLevel="0" collapsed="false">
      <c r="A38" s="23" t="s">
        <v>1200</v>
      </c>
      <c r="B38" s="23" t="s">
        <v>1621</v>
      </c>
      <c r="C38" s="23" t="n">
        <f aca="false">COUNTIFS(Database!$B:$B,$A38,Database!$J:$J,"Confirmed active paid")</f>
        <v>0</v>
      </c>
      <c r="D38" s="23" t="n">
        <f aca="false">COUNTIFS(Database!$B:$B,$A38,Database!$J:$J,"Strong evidence active paid")</f>
        <v>0</v>
      </c>
      <c r="E38" s="23" t="n">
        <f aca="false">COUNTIFS(Database!$B:$B,$A38,Database!$J:$J,"Active – paid unconfirmed")</f>
        <v>0</v>
      </c>
      <c r="F38" s="23" t="n">
        <f aca="false">COUNTIFS(Database!$B:$B,$A38,Database!$J:$J,"Upcoming")</f>
        <v>0</v>
      </c>
      <c r="G38" s="23" t="n">
        <f aca="false">COUNTIFS(Database!$B:$B,$A38,Database!$J:$J,"Completed/Expired")</f>
        <v>3</v>
      </c>
      <c r="H38" s="23" t="n">
        <f aca="false">COUNTIFS(Database!$B:$B,$A38,Database!$J:$J,"No verified project")</f>
        <v>0</v>
      </c>
      <c r="I38" s="2" t="n">
        <f aca="false">SUM(C38:H38)</f>
        <v>3</v>
      </c>
      <c r="J38" s="24" t="n">
        <f aca="false">SUM(C38:F38)</f>
        <v>0</v>
      </c>
      <c r="K38" s="23" t="str">
        <f aca="false">IF(I38=0,"Not yet researched",IF(H38&gt;0,"Searched — nothing verified (gap)",""))</f>
        <v/>
      </c>
    </row>
    <row r="39" customFormat="false" ht="15" hidden="false" customHeight="false" outlineLevel="0" collapsed="false">
      <c r="A39" s="23" t="s">
        <v>1236</v>
      </c>
      <c r="B39" s="23" t="s">
        <v>1622</v>
      </c>
      <c r="C39" s="23" t="n">
        <f aca="false">COUNTIFS(Database!$B:$B,$A39,Database!$J:$J,"Confirmed active paid")</f>
        <v>0</v>
      </c>
      <c r="D39" s="23" t="n">
        <f aca="false">COUNTIFS(Database!$B:$B,$A39,Database!$J:$J,"Strong evidence active paid")</f>
        <v>0</v>
      </c>
      <c r="E39" s="23" t="n">
        <f aca="false">COUNTIFS(Database!$B:$B,$A39,Database!$J:$J,"Active – paid unconfirmed")</f>
        <v>0</v>
      </c>
      <c r="F39" s="23" t="n">
        <f aca="false">COUNTIFS(Database!$B:$B,$A39,Database!$J:$J,"Upcoming")</f>
        <v>5</v>
      </c>
      <c r="G39" s="23" t="n">
        <f aca="false">COUNTIFS(Database!$B:$B,$A39,Database!$J:$J,"Completed/Expired")</f>
        <v>2</v>
      </c>
      <c r="H39" s="23" t="n">
        <f aca="false">COUNTIFS(Database!$B:$B,$A39,Database!$J:$J,"No verified project")</f>
        <v>0</v>
      </c>
      <c r="I39" s="2" t="n">
        <f aca="false">SUM(C39:H39)</f>
        <v>7</v>
      </c>
      <c r="J39" s="24" t="n">
        <f aca="false">SUM(C39:F39)</f>
        <v>5</v>
      </c>
      <c r="K39" s="23" t="str">
        <f aca="false">IF(I39=0,"Not yet researched",IF(H39&gt;0,"Searched — nothing verified (gap)",""))</f>
        <v/>
      </c>
    </row>
    <row r="40" customFormat="false" ht="15" hidden="false" customHeight="false" outlineLevel="0" collapsed="false">
      <c r="A40" s="23" t="s">
        <v>1311</v>
      </c>
      <c r="B40" s="23" t="s">
        <v>1623</v>
      </c>
      <c r="C40" s="23" t="n">
        <f aca="false">COUNTIFS(Database!$B:$B,$A40,Database!$J:$J,"Confirmed active paid")</f>
        <v>0</v>
      </c>
      <c r="D40" s="23" t="n">
        <f aca="false">COUNTIFS(Database!$B:$B,$A40,Database!$J:$J,"Strong evidence active paid")</f>
        <v>0</v>
      </c>
      <c r="E40" s="23" t="n">
        <f aca="false">COUNTIFS(Database!$B:$B,$A40,Database!$J:$J,"Active – paid unconfirmed")</f>
        <v>0</v>
      </c>
      <c r="F40" s="23" t="n">
        <f aca="false">COUNTIFS(Database!$B:$B,$A40,Database!$J:$J,"Upcoming")</f>
        <v>0</v>
      </c>
      <c r="G40" s="23" t="n">
        <f aca="false">COUNTIFS(Database!$B:$B,$A40,Database!$J:$J,"Completed/Expired")</f>
        <v>1</v>
      </c>
      <c r="H40" s="23" t="n">
        <f aca="false">COUNTIFS(Database!$B:$B,$A40,Database!$J:$J,"No verified project")</f>
        <v>0</v>
      </c>
      <c r="I40" s="2" t="n">
        <f aca="false">SUM(C40:H40)</f>
        <v>1</v>
      </c>
      <c r="J40" s="24" t="n">
        <f aca="false">SUM(C40:F40)</f>
        <v>0</v>
      </c>
      <c r="K40" s="23" t="str">
        <f aca="false">IF(I40=0,"Not yet researched",IF(H40&gt;0,"Searched — nothing verified (gap)",""))</f>
        <v/>
      </c>
    </row>
    <row r="41" customFormat="false" ht="15" hidden="false" customHeight="false" outlineLevel="0" collapsed="false">
      <c r="A41" s="23" t="s">
        <v>1325</v>
      </c>
      <c r="B41" s="23" t="s">
        <v>1624</v>
      </c>
      <c r="C41" s="23" t="n">
        <f aca="false">COUNTIFS(Database!$B:$B,$A41,Database!$J:$J,"Confirmed active paid")</f>
        <v>0</v>
      </c>
      <c r="D41" s="23" t="n">
        <f aca="false">COUNTIFS(Database!$B:$B,$A41,Database!$J:$J,"Strong evidence active paid")</f>
        <v>0</v>
      </c>
      <c r="E41" s="23" t="n">
        <f aca="false">COUNTIFS(Database!$B:$B,$A41,Database!$J:$J,"Active – paid unconfirmed")</f>
        <v>0</v>
      </c>
      <c r="F41" s="23" t="n">
        <f aca="false">COUNTIFS(Database!$B:$B,$A41,Database!$J:$J,"Upcoming")</f>
        <v>0</v>
      </c>
      <c r="G41" s="23" t="n">
        <f aca="false">COUNTIFS(Database!$B:$B,$A41,Database!$J:$J,"Completed/Expired")</f>
        <v>0</v>
      </c>
      <c r="H41" s="23" t="n">
        <f aca="false">COUNTIFS(Database!$B:$B,$A41,Database!$J:$J,"No verified project")</f>
        <v>1</v>
      </c>
      <c r="I41" s="2" t="n">
        <f aca="false">SUM(C41:H41)</f>
        <v>1</v>
      </c>
      <c r="J41" s="24" t="n">
        <f aca="false">SUM(C41:F41)</f>
        <v>0</v>
      </c>
      <c r="K41" s="23" t="str">
        <f aca="false">IF(I41=0,"Not yet researched",IF(H41&gt;0,"Searched — nothing verified (gap)",""))</f>
        <v>Searched — nothing verified (gap)</v>
      </c>
    </row>
    <row r="42" customFormat="false" ht="15" hidden="false" customHeight="false" outlineLevel="0" collapsed="false">
      <c r="A42" s="23" t="s">
        <v>1328</v>
      </c>
      <c r="B42" s="23" t="s">
        <v>1625</v>
      </c>
      <c r="C42" s="23" t="n">
        <f aca="false">COUNTIFS(Database!$B:$B,$A42,Database!$J:$J,"Confirmed active paid")</f>
        <v>0</v>
      </c>
      <c r="D42" s="23" t="n">
        <f aca="false">COUNTIFS(Database!$B:$B,$A42,Database!$J:$J,"Strong evidence active paid")</f>
        <v>0</v>
      </c>
      <c r="E42" s="23" t="n">
        <f aca="false">COUNTIFS(Database!$B:$B,$A42,Database!$J:$J,"Active – paid unconfirmed")</f>
        <v>0</v>
      </c>
      <c r="F42" s="23" t="n">
        <f aca="false">COUNTIFS(Database!$B:$B,$A42,Database!$J:$J,"Upcoming")</f>
        <v>0</v>
      </c>
      <c r="G42" s="23" t="n">
        <f aca="false">COUNTIFS(Database!$B:$B,$A42,Database!$J:$J,"Completed/Expired")</f>
        <v>0</v>
      </c>
      <c r="H42" s="23" t="n">
        <f aca="false">COUNTIFS(Database!$B:$B,$A42,Database!$J:$J,"No verified project")</f>
        <v>1</v>
      </c>
      <c r="I42" s="2" t="n">
        <f aca="false">SUM(C42:H42)</f>
        <v>1</v>
      </c>
      <c r="J42" s="24" t="n">
        <f aca="false">SUM(C42:F42)</f>
        <v>0</v>
      </c>
      <c r="K42" s="23" t="str">
        <f aca="false">IF(I42=0,"Not yet researched",IF(H42&gt;0,"Searched — nothing verified (gap)",""))</f>
        <v>Searched — nothing verified (gap)</v>
      </c>
    </row>
    <row r="43" customFormat="false" ht="15" hidden="false" customHeight="false" outlineLevel="0" collapsed="false">
      <c r="A43" s="23" t="s">
        <v>1334</v>
      </c>
      <c r="B43" s="23" t="s">
        <v>1626</v>
      </c>
      <c r="C43" s="23" t="n">
        <f aca="false">COUNTIFS(Database!$B:$B,$A43,Database!$J:$J,"Confirmed active paid")</f>
        <v>0</v>
      </c>
      <c r="D43" s="23" t="n">
        <f aca="false">COUNTIFS(Database!$B:$B,$A43,Database!$J:$J,"Strong evidence active paid")</f>
        <v>0</v>
      </c>
      <c r="E43" s="23" t="n">
        <f aca="false">COUNTIFS(Database!$B:$B,$A43,Database!$J:$J,"Active – paid unconfirmed")</f>
        <v>1</v>
      </c>
      <c r="F43" s="23" t="n">
        <f aca="false">COUNTIFS(Database!$B:$B,$A43,Database!$J:$J,"Upcoming")</f>
        <v>0</v>
      </c>
      <c r="G43" s="23" t="n">
        <f aca="false">COUNTIFS(Database!$B:$B,$A43,Database!$J:$J,"Completed/Expired")</f>
        <v>2</v>
      </c>
      <c r="H43" s="23" t="n">
        <f aca="false">COUNTIFS(Database!$B:$B,$A43,Database!$J:$J,"No verified project")</f>
        <v>0</v>
      </c>
      <c r="I43" s="2" t="n">
        <f aca="false">SUM(C43:H43)</f>
        <v>3</v>
      </c>
      <c r="J43" s="24" t="n">
        <f aca="false">SUM(C43:F43)</f>
        <v>1</v>
      </c>
      <c r="K43" s="23" t="str">
        <f aca="false">IF(I43=0,"Not yet researched",IF(H43&gt;0,"Searched — nothing verified (gap)",""))</f>
        <v/>
      </c>
    </row>
    <row r="44" customFormat="false" ht="15" hidden="false" customHeight="false" outlineLevel="0" collapsed="false">
      <c r="A44" s="23" t="s">
        <v>1366</v>
      </c>
      <c r="B44" s="23" t="s">
        <v>1627</v>
      </c>
      <c r="C44" s="23" t="n">
        <f aca="false">COUNTIFS(Database!$B:$B,$A44,Database!$J:$J,"Confirmed active paid")</f>
        <v>0</v>
      </c>
      <c r="D44" s="23" t="n">
        <f aca="false">COUNTIFS(Database!$B:$B,$A44,Database!$J:$J,"Strong evidence active paid")</f>
        <v>0</v>
      </c>
      <c r="E44" s="23" t="n">
        <f aca="false">COUNTIFS(Database!$B:$B,$A44,Database!$J:$J,"Active – paid unconfirmed")</f>
        <v>0</v>
      </c>
      <c r="F44" s="23" t="n">
        <f aca="false">COUNTIFS(Database!$B:$B,$A44,Database!$J:$J,"Upcoming")</f>
        <v>0</v>
      </c>
      <c r="G44" s="23" t="n">
        <f aca="false">COUNTIFS(Database!$B:$B,$A44,Database!$J:$J,"Completed/Expired")</f>
        <v>1</v>
      </c>
      <c r="H44" s="23" t="n">
        <f aca="false">COUNTIFS(Database!$B:$B,$A44,Database!$J:$J,"No verified project")</f>
        <v>0</v>
      </c>
      <c r="I44" s="2" t="n">
        <f aca="false">SUM(C44:H44)</f>
        <v>1</v>
      </c>
      <c r="J44" s="24" t="n">
        <f aca="false">SUM(C44:F44)</f>
        <v>0</v>
      </c>
      <c r="K44" s="23" t="str">
        <f aca="false">IF(I44=0,"Not yet researched",IF(H44&gt;0,"Searched — nothing verified (gap)",""))</f>
        <v/>
      </c>
    </row>
    <row r="45" customFormat="false" ht="15" hidden="false" customHeight="false" outlineLevel="0" collapsed="false">
      <c r="A45" s="23" t="s">
        <v>1384</v>
      </c>
      <c r="B45" s="23" t="s">
        <v>1628</v>
      </c>
      <c r="C45" s="23" t="n">
        <f aca="false">COUNTIFS(Database!$B:$B,$A45,Database!$J:$J,"Confirmed active paid")</f>
        <v>0</v>
      </c>
      <c r="D45" s="23" t="n">
        <f aca="false">COUNTIFS(Database!$B:$B,$A45,Database!$J:$J,"Strong evidence active paid")</f>
        <v>0</v>
      </c>
      <c r="E45" s="23" t="n">
        <f aca="false">COUNTIFS(Database!$B:$B,$A45,Database!$J:$J,"Active – paid unconfirmed")</f>
        <v>2</v>
      </c>
      <c r="F45" s="23" t="n">
        <f aca="false">COUNTIFS(Database!$B:$B,$A45,Database!$J:$J,"Upcoming")</f>
        <v>0</v>
      </c>
      <c r="G45" s="23" t="n">
        <f aca="false">COUNTIFS(Database!$B:$B,$A45,Database!$J:$J,"Completed/Expired")</f>
        <v>1</v>
      </c>
      <c r="H45" s="23" t="n">
        <f aca="false">COUNTIFS(Database!$B:$B,$A45,Database!$J:$J,"No verified project")</f>
        <v>0</v>
      </c>
      <c r="I45" s="2" t="n">
        <f aca="false">SUM(C45:H45)</f>
        <v>3</v>
      </c>
      <c r="J45" s="24" t="n">
        <f aca="false">SUM(C45:F45)</f>
        <v>2</v>
      </c>
      <c r="K45" s="23" t="str">
        <f aca="false">IF(I45=0,"Not yet researched",IF(H45&gt;0,"Searched — nothing verified (gap)",""))</f>
        <v/>
      </c>
    </row>
    <row r="46" customFormat="false" ht="15" hidden="false" customHeight="false" outlineLevel="0" collapsed="false">
      <c r="A46" s="23" t="s">
        <v>1425</v>
      </c>
      <c r="B46" s="23" t="s">
        <v>1629</v>
      </c>
      <c r="C46" s="23" t="n">
        <f aca="false">COUNTIFS(Database!$B:$B,$A46,Database!$J:$J,"Confirmed active paid")</f>
        <v>0</v>
      </c>
      <c r="D46" s="23" t="n">
        <f aca="false">COUNTIFS(Database!$B:$B,$A46,Database!$J:$J,"Strong evidence active paid")</f>
        <v>0</v>
      </c>
      <c r="E46" s="23" t="n">
        <f aca="false">COUNTIFS(Database!$B:$B,$A46,Database!$J:$J,"Active – paid unconfirmed")</f>
        <v>0</v>
      </c>
      <c r="F46" s="23" t="n">
        <f aca="false">COUNTIFS(Database!$B:$B,$A46,Database!$J:$J,"Upcoming")</f>
        <v>0</v>
      </c>
      <c r="G46" s="23" t="n">
        <f aca="false">COUNTIFS(Database!$B:$B,$A46,Database!$J:$J,"Completed/Expired")</f>
        <v>4</v>
      </c>
      <c r="H46" s="23" t="n">
        <f aca="false">COUNTIFS(Database!$B:$B,$A46,Database!$J:$J,"No verified project")</f>
        <v>0</v>
      </c>
      <c r="I46" s="2" t="n">
        <f aca="false">SUM(C46:H46)</f>
        <v>4</v>
      </c>
      <c r="J46" s="24" t="n">
        <f aca="false">SUM(C46:F46)</f>
        <v>0</v>
      </c>
      <c r="K46" s="23" t="str">
        <f aca="false">IF(I46=0,"Not yet researched",IF(H46&gt;0,"Searched — nothing verified (gap)",""))</f>
        <v/>
      </c>
    </row>
    <row r="47" customFormat="false" ht="15" hidden="false" customHeight="false" outlineLevel="0" collapsed="false">
      <c r="A47" s="23" t="s">
        <v>1469</v>
      </c>
      <c r="B47" s="23" t="s">
        <v>1630</v>
      </c>
      <c r="C47" s="23" t="n">
        <f aca="false">COUNTIFS(Database!$B:$B,$A47,Database!$J:$J,"Confirmed active paid")</f>
        <v>0</v>
      </c>
      <c r="D47" s="23" t="n">
        <f aca="false">COUNTIFS(Database!$B:$B,$A47,Database!$J:$J,"Strong evidence active paid")</f>
        <v>0</v>
      </c>
      <c r="E47" s="23" t="n">
        <f aca="false">COUNTIFS(Database!$B:$B,$A47,Database!$J:$J,"Active – paid unconfirmed")</f>
        <v>0</v>
      </c>
      <c r="F47" s="23" t="n">
        <f aca="false">COUNTIFS(Database!$B:$B,$A47,Database!$J:$J,"Upcoming")</f>
        <v>0</v>
      </c>
      <c r="G47" s="23" t="n">
        <f aca="false">COUNTIFS(Database!$B:$B,$A47,Database!$J:$J,"Completed/Expired")</f>
        <v>0</v>
      </c>
      <c r="H47" s="23" t="n">
        <f aca="false">COUNTIFS(Database!$B:$B,$A47,Database!$J:$J,"No verified project")</f>
        <v>1</v>
      </c>
      <c r="I47" s="2" t="n">
        <f aca="false">SUM(C47:H47)</f>
        <v>1</v>
      </c>
      <c r="J47" s="24" t="n">
        <f aca="false">SUM(C47:F47)</f>
        <v>0</v>
      </c>
      <c r="K47" s="23" t="str">
        <f aca="false">IF(I47=0,"Not yet researched",IF(H47&gt;0,"Searched — nothing verified (gap)",""))</f>
        <v>Searched — nothing verified (gap)</v>
      </c>
    </row>
    <row r="48" customFormat="false" ht="15" hidden="false" customHeight="false" outlineLevel="0" collapsed="false">
      <c r="A48" s="23" t="s">
        <v>1472</v>
      </c>
      <c r="B48" s="23" t="s">
        <v>1631</v>
      </c>
      <c r="C48" s="23" t="n">
        <f aca="false">COUNTIFS(Database!$B:$B,$A48,Database!$J:$J,"Confirmed active paid")</f>
        <v>0</v>
      </c>
      <c r="D48" s="23" t="n">
        <f aca="false">COUNTIFS(Database!$B:$B,$A48,Database!$J:$J,"Strong evidence active paid")</f>
        <v>0</v>
      </c>
      <c r="E48" s="23" t="n">
        <f aca="false">COUNTIFS(Database!$B:$B,$A48,Database!$J:$J,"Active – paid unconfirmed")</f>
        <v>0</v>
      </c>
      <c r="F48" s="23" t="n">
        <f aca="false">COUNTIFS(Database!$B:$B,$A48,Database!$J:$J,"Upcoming")</f>
        <v>0</v>
      </c>
      <c r="G48" s="23" t="n">
        <f aca="false">COUNTIFS(Database!$B:$B,$A48,Database!$J:$J,"Completed/Expired")</f>
        <v>0</v>
      </c>
      <c r="H48" s="23" t="n">
        <f aca="false">COUNTIFS(Database!$B:$B,$A48,Database!$J:$J,"No verified project")</f>
        <v>1</v>
      </c>
      <c r="I48" s="2" t="n">
        <f aca="false">SUM(C48:H48)</f>
        <v>1</v>
      </c>
      <c r="J48" s="24" t="n">
        <f aca="false">SUM(C48:F48)</f>
        <v>0</v>
      </c>
      <c r="K48" s="23" t="str">
        <f aca="false">IF(I48=0,"Not yet researched",IF(H48&gt;0,"Searched — nothing verified (gap)",""))</f>
        <v>Searched — nothing verified (gap)</v>
      </c>
    </row>
    <row r="49" customFormat="false" ht="15" hidden="false" customHeight="false" outlineLevel="0" collapsed="false">
      <c r="A49" s="23" t="s">
        <v>1478</v>
      </c>
      <c r="B49" s="23" t="s">
        <v>1632</v>
      </c>
      <c r="C49" s="23" t="n">
        <f aca="false">COUNTIFS(Database!$B:$B,$A49,Database!$J:$J,"Confirmed active paid")</f>
        <v>0</v>
      </c>
      <c r="D49" s="23" t="n">
        <f aca="false">COUNTIFS(Database!$B:$B,$A49,Database!$J:$J,"Strong evidence active paid")</f>
        <v>0</v>
      </c>
      <c r="E49" s="23" t="n">
        <f aca="false">COUNTIFS(Database!$B:$B,$A49,Database!$J:$J,"Active – paid unconfirmed")</f>
        <v>0</v>
      </c>
      <c r="F49" s="23" t="n">
        <f aca="false">COUNTIFS(Database!$B:$B,$A49,Database!$J:$J,"Upcoming")</f>
        <v>1</v>
      </c>
      <c r="G49" s="23" t="n">
        <f aca="false">COUNTIFS(Database!$B:$B,$A49,Database!$J:$J,"Completed/Expired")</f>
        <v>5</v>
      </c>
      <c r="H49" s="23" t="n">
        <f aca="false">COUNTIFS(Database!$B:$B,$A49,Database!$J:$J,"No verified project")</f>
        <v>0</v>
      </c>
      <c r="I49" s="2" t="n">
        <f aca="false">SUM(C49:H49)</f>
        <v>6</v>
      </c>
      <c r="J49" s="24" t="n">
        <f aca="false">SUM(C49:F49)</f>
        <v>1</v>
      </c>
      <c r="K49" s="23" t="str">
        <f aca="false">IF(I49=0,"Not yet researched",IF(H49&gt;0,"Searched — nothing verified (gap)",""))</f>
        <v/>
      </c>
    </row>
    <row r="50" customFormat="false" ht="15" hidden="false" customHeight="false" outlineLevel="0" collapsed="false">
      <c r="A50" s="23" t="s">
        <v>1544</v>
      </c>
      <c r="B50" s="23" t="s">
        <v>1633</v>
      </c>
      <c r="C50" s="23" t="n">
        <f aca="false">COUNTIFS(Database!$B:$B,$A50,Database!$J:$J,"Confirmed active paid")</f>
        <v>0</v>
      </c>
      <c r="D50" s="23" t="n">
        <f aca="false">COUNTIFS(Database!$B:$B,$A50,Database!$J:$J,"Strong evidence active paid")</f>
        <v>0</v>
      </c>
      <c r="E50" s="23" t="n">
        <f aca="false">COUNTIFS(Database!$B:$B,$A50,Database!$J:$J,"Active – paid unconfirmed")</f>
        <v>0</v>
      </c>
      <c r="F50" s="23" t="n">
        <f aca="false">COUNTIFS(Database!$B:$B,$A50,Database!$J:$J,"Upcoming")</f>
        <v>0</v>
      </c>
      <c r="G50" s="23" t="n">
        <f aca="false">COUNTIFS(Database!$B:$B,$A50,Database!$J:$J,"Completed/Expired")</f>
        <v>0</v>
      </c>
      <c r="H50" s="23" t="n">
        <f aca="false">COUNTIFS(Database!$B:$B,$A50,Database!$J:$J,"No verified project")</f>
        <v>1</v>
      </c>
      <c r="I50" s="2" t="n">
        <f aca="false">SUM(C50:H50)</f>
        <v>1</v>
      </c>
      <c r="J50" s="24" t="n">
        <f aca="false">SUM(C50:F50)</f>
        <v>0</v>
      </c>
      <c r="K50" s="23" t="str">
        <f aca="false">IF(I50=0,"Not yet researched",IF(H50&gt;0,"Searched — nothing verified (gap)",""))</f>
        <v>Searched — nothing verified (gap)</v>
      </c>
    </row>
    <row r="51" customFormat="false" ht="15" hidden="false" customHeight="false" outlineLevel="0" collapsed="false">
      <c r="A51" s="23" t="s">
        <v>1550</v>
      </c>
      <c r="B51" s="23" t="s">
        <v>1634</v>
      </c>
      <c r="C51" s="23" t="n">
        <f aca="false">COUNTIFS(Database!$B:$B,$A51,Database!$J:$J,"Confirmed active paid")</f>
        <v>0</v>
      </c>
      <c r="D51" s="23" t="n">
        <f aca="false">COUNTIFS(Database!$B:$B,$A51,Database!$J:$J,"Strong evidence active paid")</f>
        <v>0</v>
      </c>
      <c r="E51" s="23" t="n">
        <f aca="false">COUNTIFS(Database!$B:$B,$A51,Database!$J:$J,"Active – paid unconfirmed")</f>
        <v>1</v>
      </c>
      <c r="F51" s="23" t="n">
        <f aca="false">COUNTIFS(Database!$B:$B,$A51,Database!$J:$J,"Upcoming")</f>
        <v>0</v>
      </c>
      <c r="G51" s="23" t="n">
        <f aca="false">COUNTIFS(Database!$B:$B,$A51,Database!$J:$J,"Completed/Expired")</f>
        <v>0</v>
      </c>
      <c r="H51" s="23" t="n">
        <f aca="false">COUNTIFS(Database!$B:$B,$A51,Database!$J:$J,"No verified project")</f>
        <v>0</v>
      </c>
      <c r="I51" s="2" t="n">
        <f aca="false">SUM(C51:H51)</f>
        <v>1</v>
      </c>
      <c r="J51" s="24" t="n">
        <f aca="false">SUM(C51:F51)</f>
        <v>1</v>
      </c>
      <c r="K51" s="23" t="str">
        <f aca="false">IF(I51=0,"Not yet researched",IF(H51&gt;0,"Searched — nothing verified (gap)",""))</f>
        <v/>
      </c>
    </row>
    <row r="52" customFormat="false" ht="15" hidden="false" customHeight="false" outlineLevel="0" collapsed="false">
      <c r="A52" s="23" t="s">
        <v>1562</v>
      </c>
      <c r="B52" s="23" t="s">
        <v>1635</v>
      </c>
      <c r="C52" s="23" t="n">
        <f aca="false">COUNTIFS(Database!$B:$B,$A52,Database!$J:$J,"Confirmed active paid")</f>
        <v>0</v>
      </c>
      <c r="D52" s="23" t="n">
        <f aca="false">COUNTIFS(Database!$B:$B,$A52,Database!$J:$J,"Strong evidence active paid")</f>
        <v>0</v>
      </c>
      <c r="E52" s="23" t="n">
        <f aca="false">COUNTIFS(Database!$B:$B,$A52,Database!$J:$J,"Active – paid unconfirmed")</f>
        <v>0</v>
      </c>
      <c r="F52" s="23" t="n">
        <f aca="false">COUNTIFS(Database!$B:$B,$A52,Database!$J:$J,"Upcoming")</f>
        <v>0</v>
      </c>
      <c r="G52" s="23" t="n">
        <f aca="false">COUNTIFS(Database!$B:$B,$A52,Database!$J:$J,"Completed/Expired")</f>
        <v>1</v>
      </c>
      <c r="H52" s="23" t="n">
        <f aca="false">COUNTIFS(Database!$B:$B,$A52,Database!$J:$J,"No verified project")</f>
        <v>0</v>
      </c>
      <c r="I52" s="2" t="n">
        <f aca="false">SUM(C52:H52)</f>
        <v>1</v>
      </c>
      <c r="J52" s="24" t="n">
        <f aca="false">SUM(C52:F52)</f>
        <v>0</v>
      </c>
      <c r="K52" s="23" t="str">
        <f aca="false">IF(I52=0,"Not yet researched",IF(H52&gt;0,"Searched — nothing verified (gap)",""))</f>
        <v/>
      </c>
    </row>
    <row r="53" customFormat="false" ht="15" hidden="false" customHeight="false" outlineLevel="0" collapsed="false">
      <c r="A53" s="2" t="s">
        <v>1636</v>
      </c>
      <c r="C53" s="2" t="n">
        <f aca="false">SUM(C2:C52)</f>
        <v>0</v>
      </c>
      <c r="D53" s="2" t="n">
        <f aca="false">SUM(D2:D52)</f>
        <v>1</v>
      </c>
      <c r="E53" s="2" t="n">
        <f aca="false">SUM(E2:E52)</f>
        <v>24</v>
      </c>
      <c r="F53" s="2" t="n">
        <f aca="false">SUM(F2:F52)</f>
        <v>20</v>
      </c>
      <c r="G53" s="2" t="n">
        <f aca="false">SUM(G2:G52)</f>
        <v>73</v>
      </c>
      <c r="H53" s="2" t="n">
        <f aca="false">SUM(H2:H52)</f>
        <v>16</v>
      </c>
      <c r="I53" s="2" t="n">
        <f aca="false">SUM(I2:I52)</f>
        <v>134</v>
      </c>
      <c r="J53" s="2" t="n">
        <f aca="false">SUM(J2:J52)</f>
        <v>45</v>
      </c>
    </row>
  </sheetData>
  <conditionalFormatting sqref="J2:J52">
    <cfRule type="expression" priority="2" aboveAverage="0" equalAverage="0" bottom="0" percent="0" rank="0" text="" dxfId="11">
      <formula>J2&gt;0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28"/>
    <col collapsed="false" customWidth="true" hidden="false" outlineLevel="0" max="4" min="4" style="0" width="30"/>
    <col collapsed="false" customWidth="true" hidden="false" outlineLevel="0" max="5" min="5" style="0" width="24"/>
    <col collapsed="false" customWidth="true" hidden="false" outlineLevel="0" max="6" min="6" style="0" width="40"/>
    <col collapsed="false" customWidth="true" hidden="false" outlineLevel="0" max="7" min="7" style="0" width="12"/>
    <col collapsed="false" customWidth="true" hidden="false" outlineLevel="0" max="8" min="8" style="0" width="30"/>
    <col collapsed="false" customWidth="true" hidden="false" outlineLevel="0" max="9" min="9" style="0" width="22"/>
    <col collapsed="false" customWidth="true" hidden="false" outlineLevel="0" max="11" min="10" style="0" width="50"/>
  </cols>
  <sheetData>
    <row r="1" customFormat="false" ht="30" hidden="false" customHeight="true" outlineLevel="0" collapsed="false">
      <c r="A1" s="11" t="s">
        <v>1637</v>
      </c>
      <c r="B1" s="11" t="s">
        <v>1638</v>
      </c>
      <c r="C1" s="11" t="s">
        <v>60</v>
      </c>
      <c r="D1" s="11" t="s">
        <v>59</v>
      </c>
      <c r="E1" s="11" t="s">
        <v>1639</v>
      </c>
      <c r="F1" s="11" t="s">
        <v>1640</v>
      </c>
      <c r="G1" s="11" t="s">
        <v>1641</v>
      </c>
      <c r="H1" s="11" t="s">
        <v>1642</v>
      </c>
      <c r="I1" s="11" t="s">
        <v>1643</v>
      </c>
      <c r="J1" s="11" t="s">
        <v>1644</v>
      </c>
      <c r="K1" s="11" t="s">
        <v>1645</v>
      </c>
    </row>
    <row r="2" customFormat="false" ht="68.65" hidden="false" customHeight="false" outlineLevel="0" collapsed="false">
      <c r="A2" s="3" t="s">
        <v>1646</v>
      </c>
      <c r="B2" s="3" t="s">
        <v>1647</v>
      </c>
      <c r="C2" s="3" t="s">
        <v>75</v>
      </c>
      <c r="D2" s="3" t="s">
        <v>75</v>
      </c>
      <c r="E2" s="3" t="s">
        <v>1648</v>
      </c>
      <c r="F2" s="3" t="s">
        <v>1649</v>
      </c>
      <c r="G2" s="3" t="n">
        <f aca="false">COUNTIF(Database!$I:$I,"*"&amp;"Advanced Micro Targeting"&amp;"*")</f>
        <v>0</v>
      </c>
      <c r="H2" s="3" t="s">
        <v>1650</v>
      </c>
      <c r="I2" s="3" t="s">
        <v>1651</v>
      </c>
      <c r="J2" s="3" t="s">
        <v>1652</v>
      </c>
      <c r="K2" s="3" t="s">
        <v>1653</v>
      </c>
    </row>
    <row r="3" customFormat="false" ht="35.05" hidden="false" customHeight="false" outlineLevel="0" collapsed="false">
      <c r="A3" s="3" t="s">
        <v>1654</v>
      </c>
      <c r="B3" s="3" t="s">
        <v>1655</v>
      </c>
      <c r="C3" s="15" t="s">
        <v>1656</v>
      </c>
      <c r="D3" s="3" t="s">
        <v>1657</v>
      </c>
      <c r="E3" s="3" t="s">
        <v>75</v>
      </c>
      <c r="F3" s="3" t="s">
        <v>75</v>
      </c>
      <c r="G3" s="3" t="n">
        <f aca="false">COUNTIF(Database!$I:$I,"*"&amp;"Arno Petition Consultants"&amp;"*")</f>
        <v>0</v>
      </c>
      <c r="H3" s="3" t="s">
        <v>75</v>
      </c>
      <c r="I3" s="3" t="s">
        <v>75</v>
      </c>
      <c r="J3" s="3" t="s">
        <v>1658</v>
      </c>
      <c r="K3" s="3" t="s">
        <v>1659</v>
      </c>
    </row>
    <row r="4" customFormat="false" ht="79.85" hidden="false" customHeight="false" outlineLevel="0" collapsed="false">
      <c r="A4" s="3" t="s">
        <v>1660</v>
      </c>
      <c r="B4" s="3" t="s">
        <v>1661</v>
      </c>
      <c r="C4" s="3" t="s">
        <v>1662</v>
      </c>
      <c r="D4" s="3" t="s">
        <v>1663</v>
      </c>
      <c r="E4" s="3" t="s">
        <v>1664</v>
      </c>
      <c r="F4" s="3" t="s">
        <v>75</v>
      </c>
      <c r="G4" s="3" t="n">
        <f aca="false">COUNTIF(Database!$I:$I,"*"&amp;"Blitz Canvassing"&amp;"*")</f>
        <v>0</v>
      </c>
      <c r="H4" s="3" t="s">
        <v>75</v>
      </c>
      <c r="I4" s="3" t="s">
        <v>75</v>
      </c>
      <c r="J4" s="3" t="s">
        <v>1665</v>
      </c>
      <c r="K4" s="3" t="s">
        <v>1666</v>
      </c>
    </row>
    <row r="5" customFormat="false" ht="79.85" hidden="false" customHeight="false" outlineLevel="0" collapsed="false">
      <c r="A5" s="3" t="s">
        <v>1667</v>
      </c>
      <c r="B5" s="3" t="s">
        <v>1668</v>
      </c>
      <c r="C5" s="3" t="s">
        <v>1669</v>
      </c>
      <c r="D5" s="3" t="s">
        <v>1670</v>
      </c>
      <c r="E5" s="3" t="s">
        <v>1671</v>
      </c>
      <c r="F5" s="3" t="s">
        <v>1672</v>
      </c>
      <c r="G5" s="3" t="n">
        <f aca="false">COUNTIF(Database!$I:$I,"*"&amp;"Campaign &amp; Petition Management"&amp;"*")</f>
        <v>2</v>
      </c>
      <c r="H5" s="3" t="s">
        <v>75</v>
      </c>
      <c r="I5" s="3" t="s">
        <v>75</v>
      </c>
      <c r="J5" s="3" t="s">
        <v>1673</v>
      </c>
      <c r="K5" s="3" t="s">
        <v>1674</v>
      </c>
    </row>
    <row r="6" customFormat="false" ht="15" hidden="false" customHeight="false" outlineLevel="0" collapsed="false">
      <c r="A6" s="3" t="s">
        <v>1675</v>
      </c>
      <c r="B6" s="3" t="s">
        <v>75</v>
      </c>
      <c r="C6" s="3" t="s">
        <v>75</v>
      </c>
      <c r="D6" s="3" t="s">
        <v>75</v>
      </c>
      <c r="E6" s="3" t="s">
        <v>75</v>
      </c>
      <c r="F6" s="3" t="s">
        <v>75</v>
      </c>
      <c r="G6" s="3" t="n">
        <f aca="false">COUNTIF(Database!$I:$I,"*"&amp;"Fair Election Fund"&amp;"*")</f>
        <v>0</v>
      </c>
      <c r="H6" s="3" t="s">
        <v>75</v>
      </c>
      <c r="I6" s="3" t="s">
        <v>75</v>
      </c>
      <c r="J6" s="3" t="s">
        <v>1676</v>
      </c>
      <c r="K6" s="3"/>
    </row>
    <row r="7" customFormat="false" ht="102.2" hidden="false" customHeight="false" outlineLevel="0" collapsed="false">
      <c r="A7" s="3" t="s">
        <v>1677</v>
      </c>
      <c r="B7" s="3" t="s">
        <v>1678</v>
      </c>
      <c r="C7" s="15" t="s">
        <v>1679</v>
      </c>
      <c r="D7" s="3" t="s">
        <v>1680</v>
      </c>
      <c r="E7" s="3" t="s">
        <v>1681</v>
      </c>
      <c r="F7" s="3" t="s">
        <v>1682</v>
      </c>
      <c r="G7" s="3" t="n">
        <f aca="false">COUNTIF(Database!$I:$I,"*"&amp;"FieldWorks"&amp;"*")</f>
        <v>0</v>
      </c>
      <c r="H7" s="15" t="s">
        <v>1683</v>
      </c>
      <c r="I7" s="3" t="s">
        <v>1684</v>
      </c>
      <c r="J7" s="3" t="s">
        <v>1685</v>
      </c>
      <c r="K7" s="3" t="s">
        <v>1686</v>
      </c>
    </row>
    <row r="8" customFormat="false" ht="57.45" hidden="false" customHeight="false" outlineLevel="0" collapsed="false">
      <c r="A8" s="3" t="s">
        <v>359</v>
      </c>
      <c r="B8" s="3" t="s">
        <v>1687</v>
      </c>
      <c r="C8" s="3" t="s">
        <v>1688</v>
      </c>
      <c r="D8" s="3" t="s">
        <v>75</v>
      </c>
      <c r="E8" s="3" t="s">
        <v>1689</v>
      </c>
      <c r="F8" s="3" t="s">
        <v>75</v>
      </c>
      <c r="G8" s="3" t="n">
        <f aca="false">COUNTIF(Database!$I:$I,"*"&amp;"Landslide Political"&amp;"*")</f>
        <v>2</v>
      </c>
      <c r="H8" s="15" t="s">
        <v>1690</v>
      </c>
      <c r="I8" s="3" t="s">
        <v>1691</v>
      </c>
      <c r="J8" s="3" t="s">
        <v>1692</v>
      </c>
      <c r="K8" s="3" t="s">
        <v>1693</v>
      </c>
    </row>
    <row r="9" customFormat="false" ht="68.65" hidden="false" customHeight="false" outlineLevel="0" collapsed="false">
      <c r="A9" s="3" t="s">
        <v>1694</v>
      </c>
      <c r="B9" s="3" t="s">
        <v>1695</v>
      </c>
      <c r="C9" s="3" t="s">
        <v>75</v>
      </c>
      <c r="D9" s="3" t="s">
        <v>1696</v>
      </c>
      <c r="E9" s="3" t="s">
        <v>1697</v>
      </c>
      <c r="F9" s="3" t="s">
        <v>75</v>
      </c>
      <c r="G9" s="3" t="n">
        <f aca="false">COUNTIF(Database!$I:$I,"*"&amp;"Let the Voters Decide"&amp;"*")</f>
        <v>0</v>
      </c>
      <c r="H9" s="3" t="s">
        <v>75</v>
      </c>
      <c r="I9" s="3" t="s">
        <v>75</v>
      </c>
      <c r="J9" s="3" t="s">
        <v>1698</v>
      </c>
      <c r="K9" s="3" t="s">
        <v>1699</v>
      </c>
    </row>
    <row r="10" customFormat="false" ht="35.05" hidden="false" customHeight="false" outlineLevel="0" collapsed="false">
      <c r="A10" s="3" t="s">
        <v>1700</v>
      </c>
      <c r="B10" s="3" t="s">
        <v>75</v>
      </c>
      <c r="C10" s="3" t="s">
        <v>75</v>
      </c>
      <c r="D10" s="3" t="s">
        <v>75</v>
      </c>
      <c r="E10" s="3" t="s">
        <v>1628</v>
      </c>
      <c r="F10" s="3" t="s">
        <v>1701</v>
      </c>
      <c r="G10" s="3" t="n">
        <f aca="false">COUNTIF(Database!$I:$I,"*"&amp;"LMK Strategies"&amp;"*")</f>
        <v>1</v>
      </c>
      <c r="H10" s="15" t="s">
        <v>1702</v>
      </c>
      <c r="I10" s="3" t="s">
        <v>1703</v>
      </c>
      <c r="J10" s="3" t="s">
        <v>1704</v>
      </c>
      <c r="K10" s="3" t="s">
        <v>1705</v>
      </c>
    </row>
    <row r="11" customFormat="false" ht="46.25" hidden="false" customHeight="false" outlineLevel="0" collapsed="false">
      <c r="A11" s="3" t="s">
        <v>1706</v>
      </c>
      <c r="B11" s="3" t="s">
        <v>1707</v>
      </c>
      <c r="C11" s="3" t="s">
        <v>75</v>
      </c>
      <c r="D11" s="3" t="s">
        <v>75</v>
      </c>
      <c r="E11" s="3" t="s">
        <v>1607</v>
      </c>
      <c r="F11" s="3" t="s">
        <v>1708</v>
      </c>
      <c r="G11" s="3" t="n">
        <f aca="false">COUNTIF(Database!$I:$I,"*"&amp;"Mobilize Michigan"&amp;"*")</f>
        <v>0</v>
      </c>
      <c r="H11" s="15" t="s">
        <v>1709</v>
      </c>
      <c r="I11" s="3" t="s">
        <v>1710</v>
      </c>
      <c r="J11" s="3" t="s">
        <v>1711</v>
      </c>
      <c r="K11" s="3" t="s">
        <v>1712</v>
      </c>
    </row>
    <row r="12" customFormat="false" ht="214.15" hidden="false" customHeight="false" outlineLevel="0" collapsed="false">
      <c r="A12" s="3" t="s">
        <v>1713</v>
      </c>
      <c r="B12" s="3" t="s">
        <v>75</v>
      </c>
      <c r="C12" s="3" t="s">
        <v>75</v>
      </c>
      <c r="D12" s="3" t="s">
        <v>75</v>
      </c>
      <c r="E12" s="3"/>
      <c r="F12" s="3"/>
      <c r="G12" s="3" t="n">
        <f aca="false">COUNTIF(Database!$I:$I,"*"&amp;"Other firms named by Ballotpedia"&amp;"*")</f>
        <v>0</v>
      </c>
      <c r="H12" s="3" t="s">
        <v>75</v>
      </c>
      <c r="I12" s="3" t="s">
        <v>75</v>
      </c>
      <c r="J12" s="3" t="s">
        <v>1714</v>
      </c>
      <c r="K12" s="3" t="s">
        <v>1715</v>
      </c>
    </row>
    <row r="13" customFormat="false" ht="46.25" hidden="false" customHeight="false" outlineLevel="0" collapsed="false">
      <c r="A13" s="3" t="s">
        <v>1716</v>
      </c>
      <c r="B13" s="3" t="s">
        <v>1717</v>
      </c>
      <c r="C13" s="3" t="s">
        <v>75</v>
      </c>
      <c r="D13" s="3" t="s">
        <v>75</v>
      </c>
      <c r="E13" s="3" t="s">
        <v>1718</v>
      </c>
      <c r="F13" s="3" t="s">
        <v>75</v>
      </c>
      <c r="G13" s="3" t="n">
        <f aca="false">COUNTIF(Database!$I:$I,"*"&amp;"PCI Consultants"&amp;"*")</f>
        <v>0</v>
      </c>
      <c r="H13" s="3" t="s">
        <v>75</v>
      </c>
      <c r="I13" s="3" t="s">
        <v>75</v>
      </c>
      <c r="J13" s="3" t="s">
        <v>1719</v>
      </c>
      <c r="K13" s="3" t="s">
        <v>1720</v>
      </c>
    </row>
    <row r="14" customFormat="false" ht="68.65" hidden="false" customHeight="false" outlineLevel="0" collapsed="false">
      <c r="A14" s="3" t="s">
        <v>1721</v>
      </c>
      <c r="B14" s="3" t="s">
        <v>1722</v>
      </c>
      <c r="C14" s="3" t="s">
        <v>75</v>
      </c>
      <c r="D14" s="3" t="s">
        <v>75</v>
      </c>
      <c r="E14" s="3" t="s">
        <v>1588</v>
      </c>
      <c r="F14" s="3" t="s">
        <v>1723</v>
      </c>
      <c r="G14" s="3" t="n">
        <f aca="false">COUNTIF(Database!$I:$I,"*"&amp;"Petition Partners"&amp;"*")</f>
        <v>0</v>
      </c>
      <c r="H14" s="3" t="s">
        <v>75</v>
      </c>
      <c r="I14" s="3" t="s">
        <v>1724</v>
      </c>
      <c r="J14" s="3" t="s">
        <v>1725</v>
      </c>
      <c r="K14" s="3" t="s">
        <v>1726</v>
      </c>
    </row>
    <row r="15" customFormat="false" ht="79.85" hidden="false" customHeight="false" outlineLevel="0" collapsed="false">
      <c r="A15" s="3" t="s">
        <v>1727</v>
      </c>
      <c r="B15" s="3" t="s">
        <v>1728</v>
      </c>
      <c r="C15" s="15" t="s">
        <v>1729</v>
      </c>
      <c r="D15" s="3" t="s">
        <v>75</v>
      </c>
      <c r="E15" s="3" t="s">
        <v>1606</v>
      </c>
      <c r="F15" s="3" t="s">
        <v>1730</v>
      </c>
      <c r="G15" s="3" t="n">
        <f aca="false">COUNTIF(Database!$I:$I,"*"&amp;"SignatureDrive.com"&amp;"*")</f>
        <v>3</v>
      </c>
      <c r="H15" s="3" t="s">
        <v>75</v>
      </c>
      <c r="I15" s="3" t="s">
        <v>75</v>
      </c>
      <c r="J15" s="3" t="s">
        <v>1704</v>
      </c>
      <c r="K15" s="3" t="s">
        <v>776</v>
      </c>
    </row>
    <row r="16" customFormat="false" ht="57.45" hidden="false" customHeight="false" outlineLevel="0" collapsed="false">
      <c r="A16" s="3" t="s">
        <v>1731</v>
      </c>
      <c r="B16" s="3" t="s">
        <v>1732</v>
      </c>
      <c r="C16" s="3" t="s">
        <v>1733</v>
      </c>
      <c r="D16" s="3" t="s">
        <v>1734</v>
      </c>
      <c r="E16" s="3" t="s">
        <v>75</v>
      </c>
      <c r="F16" s="3" t="s">
        <v>75</v>
      </c>
      <c r="G16" s="3" t="n">
        <f aca="false">COUNTIF(Database!$I:$I,"*"&amp;"Taylor Petition Management"&amp;"*")</f>
        <v>1</v>
      </c>
      <c r="H16" s="3" t="s">
        <v>75</v>
      </c>
      <c r="I16" s="3" t="s">
        <v>75</v>
      </c>
      <c r="J16" s="3" t="s">
        <v>1735</v>
      </c>
      <c r="K16" s="3" t="s">
        <v>1736</v>
      </c>
    </row>
    <row r="17" customFormat="false" ht="135.8" hidden="false" customHeight="false" outlineLevel="0" collapsed="false">
      <c r="A17" s="3" t="s">
        <v>274</v>
      </c>
      <c r="B17" s="3" t="s">
        <v>1737</v>
      </c>
      <c r="C17" s="3" t="s">
        <v>1738</v>
      </c>
      <c r="D17" s="3" t="s">
        <v>1739</v>
      </c>
      <c r="E17" s="3" t="s">
        <v>1740</v>
      </c>
      <c r="F17" s="3" t="s">
        <v>1741</v>
      </c>
      <c r="G17" s="3" t="n">
        <f aca="false">COUNTIF(Database!$I:$I,"*"&amp;"The Outreach Team"&amp;"*")</f>
        <v>5</v>
      </c>
      <c r="H17" s="15" t="s">
        <v>1376</v>
      </c>
      <c r="I17" s="3" t="s">
        <v>1742</v>
      </c>
      <c r="J17" s="3" t="s">
        <v>1743</v>
      </c>
      <c r="K17" s="3" t="s">
        <v>1744</v>
      </c>
    </row>
    <row r="18" customFormat="false" ht="35.05" hidden="false" customHeight="false" outlineLevel="0" collapsed="false">
      <c r="A18" s="3" t="s">
        <v>1745</v>
      </c>
      <c r="B18" s="3" t="s">
        <v>1746</v>
      </c>
      <c r="C18" s="3" t="s">
        <v>75</v>
      </c>
      <c r="D18" s="3" t="s">
        <v>75</v>
      </c>
      <c r="E18" s="3" t="s">
        <v>1590</v>
      </c>
      <c r="F18" s="3" t="s">
        <v>75</v>
      </c>
      <c r="G18" s="3" t="n">
        <f aca="false">COUNTIF(Database!$I:$I,"*"&amp;"Urban Signers"&amp;"*")</f>
        <v>1</v>
      </c>
      <c r="H18" s="15" t="s">
        <v>1747</v>
      </c>
      <c r="I18" s="3" t="s">
        <v>1748</v>
      </c>
      <c r="J18" s="3" t="s">
        <v>1704</v>
      </c>
      <c r="K18" s="3" t="s">
        <v>1749</v>
      </c>
    </row>
    <row r="19" customFormat="false" ht="35.05" hidden="false" customHeight="false" outlineLevel="0" collapsed="false">
      <c r="A19" s="3" t="s">
        <v>1750</v>
      </c>
      <c r="B19" s="3" t="s">
        <v>1751</v>
      </c>
      <c r="C19" s="3" t="s">
        <v>75</v>
      </c>
      <c r="D19" s="3" t="s">
        <v>75</v>
      </c>
      <c r="E19" s="3" t="s">
        <v>1591</v>
      </c>
      <c r="F19" s="3" t="s">
        <v>75</v>
      </c>
      <c r="G19" s="3" t="n">
        <f aca="false">COUNTIF(Database!$I:$I,"*"&amp;"Victor's Canvassing"&amp;"*")</f>
        <v>0</v>
      </c>
      <c r="H19" s="3" t="s">
        <v>75</v>
      </c>
      <c r="I19" s="3" t="s">
        <v>75</v>
      </c>
      <c r="J19" s="3" t="s">
        <v>1752</v>
      </c>
      <c r="K19" s="3" t="s">
        <v>1715</v>
      </c>
    </row>
  </sheetData>
  <hyperlinks>
    <hyperlink ref="C3" r:id="rId1" display="https://apcusa.com"/>
    <hyperlink ref="C7" r:id="rId2" display="https://fieldworks.com/"/>
    <hyperlink ref="H7" r:id="rId3" display="https://fieldworks.com/jobs/ ; canvassers/petitioners: https://fieldworks.com/canvassers/ ; directors: https://fieldworks.com/directors/ ; invite-only 'Petition DTS Travel Crew': https://fieldworks.com/?p=5722"/>
    <hyperlink ref="H8" r:id="rId4" display="https://www.indeed.com/viewjob?jk=7ea42208bd574788"/>
    <hyperlink ref="H10" r:id="rId5" display="https://www.ziprecruiter.com/c/LMK-Strategies/Job/Signature-Gatherer/-in-Dallas,TX?jid=ec5f5f29d13fd8bd"/>
    <hyperlink ref="H11" r:id="rId6" display="https://www.ziprecruiter.com/c/Mobilize-Michigan/Job/Field-Manager/-in-Detroit,MI?jid=40e56da15a1ccabe"/>
    <hyperlink ref="C15" display="https://signaturedrive.com (domain as named in the article; not fetched)"/>
    <hyperlink ref="H17" r:id="rId7" display="https://careers.arena.run/companies/the-outreach-team-2/jobs/86613658-petition-circulator-expand-affordable-housing"/>
    <hyperlink ref="H18" r:id="rId8" display="https://www.indeed.com/viewjob?jk=23682f688495564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9"/>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30"/>
    <col collapsed="false" customWidth="true" hidden="false" outlineLevel="0" max="4" min="4" style="0" width="24"/>
    <col collapsed="false" customWidth="true" hidden="false" outlineLevel="0" max="5" min="5" style="0" width="26"/>
    <col collapsed="false" customWidth="true" hidden="false" outlineLevel="0" max="7" min="6" style="0" width="14"/>
    <col collapsed="false" customWidth="true" hidden="false" outlineLevel="0" max="8" min="8" style="0" width="50"/>
  </cols>
  <sheetData>
    <row r="1" customFormat="false" ht="30" hidden="false" customHeight="true" outlineLevel="0" collapsed="false">
      <c r="A1" s="11" t="s">
        <v>41</v>
      </c>
      <c r="B1" s="11" t="s">
        <v>1753</v>
      </c>
      <c r="C1" s="11" t="s">
        <v>1754</v>
      </c>
      <c r="D1" s="11" t="s">
        <v>1755</v>
      </c>
      <c r="E1" s="11" t="s">
        <v>1643</v>
      </c>
      <c r="F1" s="11" t="s">
        <v>1756</v>
      </c>
      <c r="G1" s="11" t="s">
        <v>1757</v>
      </c>
      <c r="H1" s="11" t="s">
        <v>1758</v>
      </c>
    </row>
    <row r="2" customFormat="false" ht="57.45" hidden="false" customHeight="false" outlineLevel="0" collapsed="false">
      <c r="A2" s="3" t="s">
        <v>1384</v>
      </c>
      <c r="B2" s="3" t="s">
        <v>1385</v>
      </c>
      <c r="C2" s="3" t="s">
        <v>75</v>
      </c>
      <c r="D2" s="3" t="s">
        <v>1700</v>
      </c>
      <c r="E2" s="3" t="s">
        <v>1703</v>
      </c>
      <c r="F2" s="3" t="s">
        <v>1759</v>
      </c>
      <c r="G2" s="3" t="s">
        <v>1760</v>
      </c>
      <c r="H2" s="15" t="s">
        <v>1702</v>
      </c>
    </row>
    <row r="3" customFormat="false" ht="35.05" hidden="false" customHeight="false" outlineLevel="0" collapsed="false">
      <c r="A3" s="3" t="s">
        <v>185</v>
      </c>
      <c r="B3" s="3" t="s">
        <v>1761</v>
      </c>
      <c r="C3" s="3" t="s">
        <v>1762</v>
      </c>
      <c r="D3" s="3" t="s">
        <v>218</v>
      </c>
      <c r="E3" s="3" t="s">
        <v>1763</v>
      </c>
      <c r="F3" s="3" t="s">
        <v>75</v>
      </c>
      <c r="G3" s="3" t="s">
        <v>1764</v>
      </c>
      <c r="H3" s="15" t="s">
        <v>1747</v>
      </c>
    </row>
    <row r="4" customFormat="false" ht="46.25" hidden="false" customHeight="false" outlineLevel="0" collapsed="false">
      <c r="A4" s="3" t="s">
        <v>1366</v>
      </c>
      <c r="B4" s="3" t="s">
        <v>1765</v>
      </c>
      <c r="C4" s="3" t="s">
        <v>1766</v>
      </c>
      <c r="D4" s="3" t="s">
        <v>274</v>
      </c>
      <c r="E4" s="3" t="s">
        <v>1767</v>
      </c>
      <c r="F4" s="3" t="s">
        <v>1768</v>
      </c>
      <c r="G4" s="3" t="s">
        <v>1769</v>
      </c>
      <c r="H4" s="15" t="s">
        <v>1376</v>
      </c>
    </row>
    <row r="5" customFormat="false" ht="35.05" hidden="false" customHeight="false" outlineLevel="0" collapsed="false">
      <c r="A5" s="3" t="s">
        <v>305</v>
      </c>
      <c r="B5" s="3" t="s">
        <v>1770</v>
      </c>
      <c r="C5" s="3" t="s">
        <v>75</v>
      </c>
      <c r="D5" s="3" t="s">
        <v>1771</v>
      </c>
      <c r="E5" s="3" t="s">
        <v>1772</v>
      </c>
      <c r="F5" s="3" t="s">
        <v>1773</v>
      </c>
      <c r="G5" s="3" t="s">
        <v>1774</v>
      </c>
      <c r="H5" s="15" t="s">
        <v>1775</v>
      </c>
    </row>
    <row r="6" customFormat="false" ht="15" hidden="false" customHeight="false" outlineLevel="0" collapsed="false">
      <c r="A6" s="3" t="s">
        <v>305</v>
      </c>
      <c r="B6" s="3" t="s">
        <v>1776</v>
      </c>
      <c r="C6" s="3" t="s">
        <v>75</v>
      </c>
      <c r="D6" s="3" t="s">
        <v>1771</v>
      </c>
      <c r="E6" s="3" t="s">
        <v>1772</v>
      </c>
      <c r="F6" s="3" t="s">
        <v>75</v>
      </c>
      <c r="G6" s="3" t="s">
        <v>1774</v>
      </c>
      <c r="H6" s="15" t="s">
        <v>1777</v>
      </c>
    </row>
    <row r="7" customFormat="false" ht="23.85" hidden="false" customHeight="false" outlineLevel="0" collapsed="false">
      <c r="A7" s="3" t="s">
        <v>305</v>
      </c>
      <c r="B7" s="3" t="s">
        <v>1770</v>
      </c>
      <c r="C7" s="3" t="s">
        <v>1778</v>
      </c>
      <c r="D7" s="3" t="s">
        <v>1779</v>
      </c>
      <c r="E7" s="3" t="s">
        <v>1780</v>
      </c>
      <c r="F7" s="3" t="s">
        <v>75</v>
      </c>
      <c r="G7" s="3" t="s">
        <v>1774</v>
      </c>
      <c r="H7" s="15" t="s">
        <v>1781</v>
      </c>
    </row>
    <row r="8" customFormat="false" ht="57.45" hidden="false" customHeight="false" outlineLevel="0" collapsed="false">
      <c r="A8" s="3" t="s">
        <v>875</v>
      </c>
      <c r="B8" s="3" t="s">
        <v>1782</v>
      </c>
      <c r="C8" s="3" t="s">
        <v>1783</v>
      </c>
      <c r="D8" s="3" t="s">
        <v>1706</v>
      </c>
      <c r="E8" s="3" t="s">
        <v>1784</v>
      </c>
      <c r="F8" s="3" t="s">
        <v>1785</v>
      </c>
      <c r="G8" s="3" t="s">
        <v>1774</v>
      </c>
      <c r="H8" s="15" t="s">
        <v>1709</v>
      </c>
    </row>
    <row r="9" customFormat="false" ht="23.85" hidden="false" customHeight="false" outlineLevel="0" collapsed="false">
      <c r="A9" s="3" t="s">
        <v>875</v>
      </c>
      <c r="B9" s="3" t="s">
        <v>1786</v>
      </c>
      <c r="C9" s="3" t="s">
        <v>1787</v>
      </c>
      <c r="D9" s="3" t="s">
        <v>1788</v>
      </c>
      <c r="E9" s="3" t="s">
        <v>1772</v>
      </c>
      <c r="F9" s="3" t="s">
        <v>75</v>
      </c>
      <c r="G9" s="3" t="s">
        <v>1774</v>
      </c>
      <c r="H9" s="15" t="s">
        <v>1789</v>
      </c>
    </row>
    <row r="10" customFormat="false" ht="35.05" hidden="false" customHeight="false" outlineLevel="0" collapsed="false">
      <c r="A10" s="3" t="s">
        <v>388</v>
      </c>
      <c r="B10" s="3" t="s">
        <v>1478</v>
      </c>
      <c r="C10" s="3" t="s">
        <v>75</v>
      </c>
      <c r="D10" s="3" t="s">
        <v>1790</v>
      </c>
      <c r="E10" s="3" t="s">
        <v>1791</v>
      </c>
      <c r="F10" s="3" t="s">
        <v>75</v>
      </c>
      <c r="G10" s="3" t="s">
        <v>1774</v>
      </c>
      <c r="H10" s="15" t="s">
        <v>1792</v>
      </c>
    </row>
    <row r="11" customFormat="false" ht="23.85" hidden="false" customHeight="false" outlineLevel="0" collapsed="false">
      <c r="A11" s="3" t="s">
        <v>1425</v>
      </c>
      <c r="B11" s="3" t="s">
        <v>1793</v>
      </c>
      <c r="C11" s="3" t="s">
        <v>1794</v>
      </c>
      <c r="D11" s="3" t="s">
        <v>359</v>
      </c>
      <c r="E11" s="3" t="s">
        <v>1795</v>
      </c>
      <c r="F11" s="3" t="s">
        <v>75</v>
      </c>
      <c r="G11" s="3" t="s">
        <v>1796</v>
      </c>
      <c r="H11" s="15" t="s">
        <v>1690</v>
      </c>
    </row>
    <row r="12" customFormat="false" ht="35.05" hidden="false" customHeight="false" outlineLevel="0" collapsed="false">
      <c r="A12" s="3" t="s">
        <v>1797</v>
      </c>
      <c r="B12" s="3" t="s">
        <v>1798</v>
      </c>
      <c r="C12" s="3" t="s">
        <v>75</v>
      </c>
      <c r="D12" s="3" t="s">
        <v>1799</v>
      </c>
      <c r="E12" s="3" t="s">
        <v>1800</v>
      </c>
      <c r="F12" s="3" t="s">
        <v>1801</v>
      </c>
      <c r="G12" s="3" t="s">
        <v>1802</v>
      </c>
      <c r="H12" s="15" t="s">
        <v>1803</v>
      </c>
    </row>
    <row r="13" customFormat="false" ht="46.25" hidden="false" customHeight="false" outlineLevel="0" collapsed="false">
      <c r="A13" s="3" t="s">
        <v>1550</v>
      </c>
      <c r="B13" s="3" t="s">
        <v>1804</v>
      </c>
      <c r="C13" s="3" t="s">
        <v>1805</v>
      </c>
      <c r="D13" s="3" t="s">
        <v>274</v>
      </c>
      <c r="E13" s="3" t="s">
        <v>1806</v>
      </c>
      <c r="F13" s="3" t="s">
        <v>1807</v>
      </c>
      <c r="G13" s="3" t="s">
        <v>1808</v>
      </c>
      <c r="H13" s="15" t="s">
        <v>1809</v>
      </c>
    </row>
    <row r="14" customFormat="false" ht="23.85" hidden="false" customHeight="false" outlineLevel="0" collapsed="false">
      <c r="A14" s="3" t="s">
        <v>185</v>
      </c>
      <c r="B14" s="3" t="s">
        <v>1810</v>
      </c>
      <c r="C14" s="3" t="s">
        <v>1811</v>
      </c>
      <c r="D14" s="3" t="s">
        <v>274</v>
      </c>
      <c r="E14" s="3" t="s">
        <v>1812</v>
      </c>
      <c r="F14" s="3" t="s">
        <v>1813</v>
      </c>
      <c r="G14" s="3" t="s">
        <v>1808</v>
      </c>
      <c r="H14" s="15" t="s">
        <v>1814</v>
      </c>
    </row>
    <row r="15" customFormat="false" ht="23.85" hidden="false" customHeight="false" outlineLevel="0" collapsed="false">
      <c r="A15" s="3" t="s">
        <v>305</v>
      </c>
      <c r="B15" s="3" t="s">
        <v>367</v>
      </c>
      <c r="C15" s="3" t="s">
        <v>1815</v>
      </c>
      <c r="D15" s="3" t="s">
        <v>1816</v>
      </c>
      <c r="E15" s="3" t="s">
        <v>1817</v>
      </c>
      <c r="F15" s="3" t="s">
        <v>75</v>
      </c>
      <c r="G15" s="3" t="s">
        <v>1808</v>
      </c>
      <c r="H15" s="15" t="s">
        <v>374</v>
      </c>
    </row>
    <row r="16" customFormat="false" ht="57.45" hidden="false" customHeight="false" outlineLevel="0" collapsed="false">
      <c r="A16" s="3" t="s">
        <v>1478</v>
      </c>
      <c r="B16" s="3" t="s">
        <v>75</v>
      </c>
      <c r="C16" s="3" t="s">
        <v>1818</v>
      </c>
      <c r="D16" s="3" t="s">
        <v>75</v>
      </c>
      <c r="E16" s="3" t="s">
        <v>75</v>
      </c>
      <c r="F16" s="3" t="s">
        <v>75</v>
      </c>
      <c r="G16" s="3" t="s">
        <v>1819</v>
      </c>
      <c r="H16" s="15" t="s">
        <v>1820</v>
      </c>
    </row>
  </sheetData>
  <hyperlinks>
    <hyperlink ref="H2" r:id="rId1" display="https://www.ziprecruiter.com/c/LMK-Strategies/Job/Signature-Gatherer/-in-Dallas,TX?jid=ec5f5f29d13fd8bd"/>
    <hyperlink ref="H3" r:id="rId2" display="https://www.indeed.com/viewjob?jk=23682f688495564a"/>
    <hyperlink ref="H4" r:id="rId3" display="https://careers.arena.run/companies/the-outreach-team-2/jobs/86613658-petition-circulator-expand-affordable-housing"/>
    <hyperlink ref="H5" r:id="rId4" display="https://www.ziprecruiter.com/c/PS-Logistics-LLC/Job/Petition-Circulator/-in-Denver,CO?jid=d5c1b43da3aeb6f1"/>
    <hyperlink ref="H6" r:id="rId5" display="https://www.ziprecruiter.com/c/PS-Logistics-LLC/Job/Petition-Circulator/-in-Windsor,CO?jid=6bcc15bfa6b7542f"/>
    <hyperlink ref="H7" r:id="rId6" display="https://www.ziprecruiter.com/c/Oedipus-Petitioning-LLC/Job/Door-to-Door-Liquor-License-Petitioning/-in-Denver,CO?jid=5cb1e0cd48213fde"/>
    <hyperlink ref="H8" r:id="rId7" display="https://www.ziprecruiter.com/c/Mobilize-Michigan/Job/Field-Manager/-in-Detroit,MI?jid=40e56da15a1ccabe"/>
    <hyperlink ref="H9" r:id="rId8" display="https://www.ziprecruiter.com/c/Verdugo-Strategies/Job/Community-Outreach-Representative(MI)/-in-Detroit,MI?jid=4bfb4f23f6f40de6"/>
    <hyperlink ref="H10" r:id="rId9" display="https://www.ziprecruiter.com/c/Arena/Job/PTGR-Strategies:-Signature-Collector/-in-Washington,DC?jid=00b6903f80cd9c1a"/>
    <hyperlink ref="H11" r:id="rId10" display="https://www.indeed.com/viewjob?jk=7ea42208bd574788"/>
    <hyperlink ref="H12" r:id="rId11" display="https://fieldworks.com/?p=5722"/>
    <hyperlink ref="H13" r:id="rId12" display="https://careers.arena.run/companies/the-outreach-team-2/jobs/82850590-community-petitioner"/>
    <hyperlink ref="H14" r:id="rId13" display="https://careers.arena.run/companies/the-outreach-team-2/jobs/79505515-petition-circulator"/>
    <hyperlink ref="H15" r:id="rId14" display="https://jobs.arena.run/jobs/paid-petition-circulator-reci-b-ea-nzesly5-h-kl/"/>
    <hyperlink ref="H16" r:id="rId15" display="https://www.craigslist.org/view/d/washington-ballot-initiatives-seeking/nc1dfeoPHm8c19ZKLWWJ7V"/>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6"/>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 collapsed="false" customWidth="true" hidden="false" outlineLevel="0" max="3" min="3" style="0" width="60"/>
  </cols>
  <sheetData>
    <row r="1" customFormat="false" ht="30" hidden="false" customHeight="true" outlineLevel="0" collapsed="false">
      <c r="A1" s="11" t="s">
        <v>1821</v>
      </c>
      <c r="B1" s="11" t="s">
        <v>1822</v>
      </c>
      <c r="C1" s="11" t="s">
        <v>1645</v>
      </c>
    </row>
    <row r="2" customFormat="false" ht="57.45" hidden="false" customHeight="false" outlineLevel="0" collapsed="false">
      <c r="A2" s="3" t="s">
        <v>1823</v>
      </c>
      <c r="B2" s="3" t="s">
        <v>1824</v>
      </c>
      <c r="C2" s="3" t="s">
        <v>1825</v>
      </c>
    </row>
    <row r="3" customFormat="false" ht="35.05" hidden="false" customHeight="false" outlineLevel="0" collapsed="false">
      <c r="A3" s="3" t="s">
        <v>1826</v>
      </c>
      <c r="B3" s="3" t="s">
        <v>1827</v>
      </c>
      <c r="C3" s="3" t="s">
        <v>1828</v>
      </c>
    </row>
    <row r="4" customFormat="false" ht="35.05" hidden="false" customHeight="false" outlineLevel="0" collapsed="false">
      <c r="A4" s="3" t="s">
        <v>1829</v>
      </c>
      <c r="B4" s="3" t="s">
        <v>1830</v>
      </c>
      <c r="C4" s="3" t="s">
        <v>1831</v>
      </c>
    </row>
    <row r="5" customFormat="false" ht="79.85" hidden="false" customHeight="false" outlineLevel="0" collapsed="false">
      <c r="A5" s="3" t="s">
        <v>764</v>
      </c>
      <c r="B5" s="3" t="s">
        <v>1832</v>
      </c>
      <c r="C5" s="3" t="s">
        <v>1833</v>
      </c>
    </row>
    <row r="6" customFormat="false" ht="91" hidden="false" customHeight="false" outlineLevel="0" collapsed="false">
      <c r="A6" s="3" t="s">
        <v>1478</v>
      </c>
      <c r="B6" s="3" t="s">
        <v>1834</v>
      </c>
      <c r="C6" s="3" t="s">
        <v>1835</v>
      </c>
    </row>
    <row r="7" customFormat="false" ht="23.85" hidden="false" customHeight="false" outlineLevel="0" collapsed="false">
      <c r="A7" s="3" t="s">
        <v>683</v>
      </c>
      <c r="B7" s="3" t="s">
        <v>1836</v>
      </c>
      <c r="C7" s="3" t="s">
        <v>1837</v>
      </c>
    </row>
    <row r="8" customFormat="false" ht="79.85" hidden="false" customHeight="false" outlineLevel="0" collapsed="false">
      <c r="A8" s="3" t="s">
        <v>1838</v>
      </c>
      <c r="B8" s="3" t="s">
        <v>1839</v>
      </c>
      <c r="C8" s="3" t="s">
        <v>1840</v>
      </c>
    </row>
    <row r="9" customFormat="false" ht="57.45" hidden="false" customHeight="false" outlineLevel="0" collapsed="false">
      <c r="A9" s="3" t="s">
        <v>1841</v>
      </c>
      <c r="B9" s="3" t="s">
        <v>1842</v>
      </c>
      <c r="C9" s="3" t="s">
        <v>1843</v>
      </c>
    </row>
    <row r="10" customFormat="false" ht="46.25" hidden="false" customHeight="false" outlineLevel="0" collapsed="false">
      <c r="A10" s="3" t="s">
        <v>1844</v>
      </c>
      <c r="B10" s="3" t="s">
        <v>1845</v>
      </c>
      <c r="C10" s="3" t="s">
        <v>1846</v>
      </c>
    </row>
    <row r="11" customFormat="false" ht="91" hidden="false" customHeight="false" outlineLevel="0" collapsed="false">
      <c r="A11" s="3" t="s">
        <v>1847</v>
      </c>
      <c r="B11" s="3" t="s">
        <v>1848</v>
      </c>
      <c r="C11" s="3" t="s">
        <v>1849</v>
      </c>
    </row>
    <row r="12" customFormat="false" ht="57.45" hidden="false" customHeight="false" outlineLevel="0" collapsed="false">
      <c r="A12" s="3" t="s">
        <v>1850</v>
      </c>
      <c r="B12" s="3" t="s">
        <v>1851</v>
      </c>
      <c r="C12" s="3" t="s">
        <v>1852</v>
      </c>
    </row>
    <row r="13" customFormat="false" ht="79.85" hidden="false" customHeight="false" outlineLevel="0" collapsed="false">
      <c r="A13" s="3" t="s">
        <v>1853</v>
      </c>
      <c r="B13" s="3" t="s">
        <v>1854</v>
      </c>
      <c r="C13" s="3" t="s">
        <v>1855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34"/>
    <col collapsed="false" customWidth="true" hidden="false" outlineLevel="0" max="4" min="4" style="0" width="24"/>
    <col collapsed="false" customWidth="true" hidden="false" outlineLevel="0" max="6" min="5" style="0" width="22"/>
    <col collapsed="false" customWidth="true" hidden="false" outlineLevel="0" max="7" min="7" style="0" width="18"/>
    <col collapsed="false" customWidth="true" hidden="false" outlineLevel="0" max="8" min="8" style="0" width="14"/>
    <col collapsed="false" customWidth="true" hidden="false" outlineLevel="0" max="9" min="9" style="0" width="40"/>
    <col collapsed="false" customWidth="true" hidden="false" outlineLevel="0" max="10" min="10" style="0" width="14"/>
  </cols>
  <sheetData>
    <row r="1" customFormat="false" ht="19.7" hidden="false" customHeight="false" outlineLevel="0" collapsed="false">
      <c r="A1" s="1" t="s">
        <v>1856</v>
      </c>
    </row>
    <row r="2" customFormat="false" ht="15" hidden="false" customHeight="false" outlineLevel="0" collapsed="false">
      <c r="A2" s="25" t="s">
        <v>1857</v>
      </c>
    </row>
    <row r="4" customFormat="false" ht="30" hidden="false" customHeight="true" outlineLevel="0" collapsed="false">
      <c r="A4" s="11" t="s">
        <v>1858</v>
      </c>
      <c r="B4" s="11" t="s">
        <v>41</v>
      </c>
      <c r="C4" s="11" t="s">
        <v>44</v>
      </c>
      <c r="D4" s="11" t="s">
        <v>1859</v>
      </c>
      <c r="E4" s="11" t="s">
        <v>49</v>
      </c>
      <c r="F4" s="11" t="s">
        <v>1637</v>
      </c>
      <c r="G4" s="11" t="s">
        <v>1576</v>
      </c>
      <c r="H4" s="11" t="s">
        <v>51</v>
      </c>
      <c r="I4" s="11" t="s">
        <v>1860</v>
      </c>
      <c r="J4" s="11" t="s">
        <v>1861</v>
      </c>
    </row>
    <row r="5" customFormat="false" ht="15" hidden="false" customHeight="false" outlineLevel="0" collapsed="false">
      <c r="A5" s="26" t="s">
        <v>1862</v>
      </c>
      <c r="B5" s="26" t="s">
        <v>764</v>
      </c>
      <c r="C5" s="26" t="s">
        <v>1863</v>
      </c>
      <c r="D5" s="26" t="s">
        <v>1864</v>
      </c>
      <c r="E5" s="26" t="s">
        <v>10</v>
      </c>
      <c r="F5" s="26" t="s">
        <v>75</v>
      </c>
      <c r="G5" s="26" t="s">
        <v>75</v>
      </c>
      <c r="H5" s="26" t="s">
        <v>1865</v>
      </c>
      <c r="I5" s="26" t="s">
        <v>1866</v>
      </c>
      <c r="J5" s="26" t="s">
        <v>1867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2026-10-24T17:34:52Z</dcterms:created>
  <dc:creator>openpyxl</dc:creator>
  <dc:description/>
  <dc:language>en-US</dc:language>
  <cp:lastModifiedBy/>
  <dcterms:modified xsi:type="dcterms:W3CDTF">2026-10-24T17:34:52Z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